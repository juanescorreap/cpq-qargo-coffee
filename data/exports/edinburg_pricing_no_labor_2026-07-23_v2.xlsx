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uan_esteban_correa\cpq-qargo-coffee\data\exports\"/>
    </mc:Choice>
  </mc:AlternateContent>
  <xr:revisionPtr revIDLastSave="0" documentId="13_ncr:1_{6D4F8D11-9C40-4605-ABD5-75B9C5C2EE76}" xr6:coauthVersionLast="47" xr6:coauthVersionMax="47" xr10:uidLastSave="{00000000-0000-0000-0000-000000000000}"/>
  <bookViews>
    <workbookView xWindow="-108" yWindow="-108" windowWidth="23256" windowHeight="12456" xr2:uid="{7B75740D-FF38-48AF-A88D-4A550FCAF525}"/>
  </bookViews>
  <sheets>
    <sheet name="edinburg_pricing_no_labor_2026-" sheetId="1" r:id="rId1"/>
  </sheets>
  <definedNames>
    <definedName name="_xlnm._FilterDatabase" localSheetId="0" hidden="1">'edinburg_pricing_no_labor_2026-'!$A$1:$F$183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3" i="1" l="1"/>
  <c r="F182" i="1"/>
  <c r="F180" i="1"/>
  <c r="F179" i="1"/>
  <c r="F176" i="1"/>
  <c r="F175" i="1"/>
  <c r="F174" i="1"/>
  <c r="F129" i="1"/>
  <c r="F172" i="1"/>
  <c r="F171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8" i="1"/>
  <c r="F125" i="1"/>
  <c r="F124" i="1"/>
  <c r="F123" i="1"/>
  <c r="F122" i="1"/>
  <c r="F121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120" i="1"/>
  <c r="F91" i="1"/>
  <c r="F90" i="1"/>
  <c r="F92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178" i="1"/>
  <c r="F177" i="1"/>
  <c r="F173" i="1"/>
  <c r="F170" i="1"/>
  <c r="F72" i="1"/>
  <c r="F71" i="1"/>
  <c r="F126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181" i="1"/>
  <c r="F26" i="1"/>
  <c r="F25" i="1"/>
  <c r="F24" i="1"/>
  <c r="F23" i="1"/>
  <c r="F22" i="1"/>
  <c r="F21" i="1"/>
  <c r="F20" i="1"/>
  <c r="F19" i="1"/>
  <c r="F18" i="1"/>
  <c r="F17" i="1"/>
  <c r="F16" i="1"/>
  <c r="F15" i="1"/>
  <c r="F127" i="1"/>
  <c r="F14" i="1"/>
  <c r="F13" i="1"/>
  <c r="F12" i="1"/>
  <c r="F11" i="1"/>
  <c r="F144" i="1"/>
  <c r="F10" i="1"/>
  <c r="F9" i="1"/>
  <c r="F8" i="1"/>
  <c r="F7" i="1"/>
  <c r="F6" i="1"/>
  <c r="F5" i="1"/>
  <c r="F4" i="1"/>
  <c r="F3" i="1"/>
  <c r="F2" i="1"/>
  <c r="E183" i="1"/>
  <c r="E182" i="1"/>
  <c r="E180" i="1"/>
  <c r="E179" i="1"/>
  <c r="E176" i="1"/>
  <c r="E175" i="1"/>
  <c r="E174" i="1"/>
  <c r="E129" i="1"/>
  <c r="E172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8" i="1"/>
  <c r="E125" i="1"/>
  <c r="E124" i="1"/>
  <c r="E123" i="1"/>
  <c r="E122" i="1"/>
  <c r="E121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120" i="1"/>
  <c r="E91" i="1"/>
  <c r="E90" i="1"/>
  <c r="E92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178" i="1"/>
  <c r="E177" i="1"/>
  <c r="E173" i="1"/>
  <c r="E170" i="1"/>
  <c r="E72" i="1"/>
  <c r="E71" i="1"/>
  <c r="E126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181" i="1"/>
  <c r="E26" i="1"/>
  <c r="E25" i="1"/>
  <c r="E24" i="1"/>
  <c r="E23" i="1"/>
  <c r="E22" i="1"/>
  <c r="E21" i="1"/>
  <c r="E20" i="1"/>
  <c r="E19" i="1"/>
  <c r="E18" i="1"/>
  <c r="E17" i="1"/>
  <c r="E16" i="1"/>
  <c r="E15" i="1"/>
  <c r="E127" i="1"/>
  <c r="E14" i="1"/>
  <c r="E13" i="1"/>
  <c r="E12" i="1"/>
  <c r="E11" i="1"/>
  <c r="E144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<sst xmlns="http://schemas.openxmlformats.org/spreadsheetml/2006/main" count="370" uniqueCount="129">
  <si>
    <t>product</t>
  </si>
  <si>
    <t>size</t>
  </si>
  <si>
    <t>cost_usd_no_labor</t>
  </si>
  <si>
    <t>Price on POS</t>
  </si>
  <si>
    <t>Markup</t>
  </si>
  <si>
    <t>Gross margin</t>
  </si>
  <si>
    <t>A Siciliana Aranciata</t>
  </si>
  <si>
    <t>Standard</t>
  </si>
  <si>
    <t>A Siciliana Limonata</t>
  </si>
  <si>
    <t>A Siciliana Mandarino</t>
  </si>
  <si>
    <t>A Siciliana Melograno</t>
  </si>
  <si>
    <t>Acqua Panna</t>
  </si>
  <si>
    <t>Affogato</t>
  </si>
  <si>
    <t>All Butter Croissant</t>
  </si>
  <si>
    <t>Almond Croissant</t>
  </si>
  <si>
    <t>Apple Butter Danish</t>
  </si>
  <si>
    <t>Apple Juice</t>
  </si>
  <si>
    <t>Apple Square Danish</t>
  </si>
  <si>
    <t>Apple Tropicana Juice</t>
  </si>
  <si>
    <t>Banana Nut Muffin</t>
  </si>
  <si>
    <t>Berries and Cream Twist Danish</t>
  </si>
  <si>
    <t>Black River Pear Juice</t>
  </si>
  <si>
    <t>Blueberry Cheesecake Danish</t>
  </si>
  <si>
    <t>Blueberry Scone</t>
  </si>
  <si>
    <t>Boba Tea Coconutty</t>
  </si>
  <si>
    <t>16 Oz</t>
  </si>
  <si>
    <t>20 Oz</t>
  </si>
  <si>
    <t>24 Oz</t>
  </si>
  <si>
    <t>Boba Tea Espresso Rose</t>
  </si>
  <si>
    <t>Bundaberg Ginger Beer</t>
  </si>
  <si>
    <t>Cacao Muffin</t>
  </si>
  <si>
    <t>Caffe Americano</t>
  </si>
  <si>
    <t>Caffe Au Lait</t>
  </si>
  <si>
    <t>Caffe Latte</t>
  </si>
  <si>
    <t>Cake Torta Nocciola</t>
  </si>
  <si>
    <t>Cappuccino</t>
  </si>
  <si>
    <t>Cappuccino Cake</t>
  </si>
  <si>
    <t>Carrot Cake</t>
  </si>
  <si>
    <t>Cheddar and Crisp Sandwich</t>
  </si>
  <si>
    <t>Cheese Danish</t>
  </si>
  <si>
    <t>Cheese Square Danish</t>
  </si>
  <si>
    <t>Cherry Greek Yogurt Danish</t>
  </si>
  <si>
    <t>Chocolate Chip Muffin</t>
  </si>
  <si>
    <t>Chocolate Croissant</t>
  </si>
  <si>
    <t>Chocolate Eclair</t>
  </si>
  <si>
    <t>Chocolate Fondant Cake</t>
  </si>
  <si>
    <t>Chocolate Ganache Cheesecake</t>
  </si>
  <si>
    <t>Chocolate Temptation Cake</t>
  </si>
  <si>
    <t>Cinnamon Raisin Bagel</t>
  </si>
  <si>
    <t>Cinnamon Roll</t>
  </si>
  <si>
    <t>Coffee Eclair</t>
  </si>
  <si>
    <t>Cold Brew</t>
  </si>
  <si>
    <t>Cold Brew Coco Choc</t>
  </si>
  <si>
    <t>Cold Brew Coco Choc Nitro</t>
  </si>
  <si>
    <t>Cold Brew Nitro</t>
  </si>
  <si>
    <t>Cold Brew Nutty Nitro</t>
  </si>
  <si>
    <t>Doughnut Croissant</t>
  </si>
  <si>
    <t>Dulce de Leche Cheesecake</t>
  </si>
  <si>
    <t>Energy Drink Celsius Kiwi Giava</t>
  </si>
  <si>
    <t>Energy Drink Celsius Watermelon</t>
  </si>
  <si>
    <t>Energy Drink Celsius Wildberry</t>
  </si>
  <si>
    <t>Espresso</t>
  </si>
  <si>
    <t>4 Oz</t>
  </si>
  <si>
    <t>Everything Bagel</t>
  </si>
  <si>
    <t>Five Star Apple Juice</t>
  </si>
  <si>
    <t>Five Star Cranberry Juice</t>
  </si>
  <si>
    <t>Five Star Orange Juice</t>
  </si>
  <si>
    <t>Five Star Pineapple Juice</t>
  </si>
  <si>
    <t>Flat White</t>
  </si>
  <si>
    <t>Flavored Water Mango Pineapple Splash</t>
  </si>
  <si>
    <t>Frappe Italian Coffee</t>
  </si>
  <si>
    <t>Frappe Italian Mocha</t>
  </si>
  <si>
    <t>Frappe Italian Strawberry</t>
  </si>
  <si>
    <t>Glazed Apricot Croissant</t>
  </si>
  <si>
    <t>Guava Danish</t>
  </si>
  <si>
    <t>Hot Chocolate</t>
  </si>
  <si>
    <t>Hot Tea</t>
  </si>
  <si>
    <t>Ice Cubes</t>
  </si>
  <si>
    <t>Iced Caffe Americano</t>
  </si>
  <si>
    <t>Iced Cappuccino</t>
  </si>
  <si>
    <t>Iced Latte</t>
  </si>
  <si>
    <t>Iced Latte Chai Tea</t>
  </si>
  <si>
    <t>Iced Latte Coconut</t>
  </si>
  <si>
    <t>Iced Latte Macchiato</t>
  </si>
  <si>
    <t>Iced Mocha</t>
  </si>
  <si>
    <t>Italian Rustic Sandwich</t>
  </si>
  <si>
    <t>Latte Chai Tea</t>
  </si>
  <si>
    <t>Latte Macchiato</t>
  </si>
  <si>
    <t>Leek and Parmesan Danish</t>
  </si>
  <si>
    <t>Lemon Danish</t>
  </si>
  <si>
    <t>Maple Pecan Danish</t>
  </si>
  <si>
    <t>Mini Dutch Pancakes</t>
  </si>
  <si>
    <t>Mocha</t>
  </si>
  <si>
    <t>Pesto Pomodoro Sandwich</t>
  </si>
  <si>
    <t>Pistachio Cheesecake</t>
  </si>
  <si>
    <t>Pistachio Croissant</t>
  </si>
  <si>
    <t>Pistachio Muffin</t>
  </si>
  <si>
    <t>Plain Bagel</t>
  </si>
  <si>
    <t>Prosciutto Royale Sandwich</t>
  </si>
  <si>
    <t>Qargo Classic Sandwich</t>
  </si>
  <si>
    <t>Raspberry Cream Cheese Danish</t>
  </si>
  <si>
    <t>Red Velvet Cake</t>
  </si>
  <si>
    <t>Ricotta and Pistachio Cake</t>
  </si>
  <si>
    <t>San Pellegrino</t>
  </si>
  <si>
    <t>San Pellegrino Aranciata</t>
  </si>
  <si>
    <t>San Pellegrino Ciao Lime</t>
  </si>
  <si>
    <t>San Pellegrino Limonata</t>
  </si>
  <si>
    <t>Sandwich Caprese al Croissant</t>
  </si>
  <si>
    <t>Smoothie Berry Burst Fussion</t>
  </si>
  <si>
    <t>Smoothie Mango Dreamsicle</t>
  </si>
  <si>
    <t>Smoothie Pina Coco Lada</t>
  </si>
  <si>
    <t>Soda Mango Colada</t>
  </si>
  <si>
    <t>Soda Mother of Dragons</t>
  </si>
  <si>
    <t>Soda Strawberries and Cream</t>
  </si>
  <si>
    <t>Soda Watermelon Cooler</t>
  </si>
  <si>
    <t>Spinach and Feta Danish</t>
  </si>
  <si>
    <t>Spinach Kale and Cheese Croissant</t>
  </si>
  <si>
    <t>Strawberry Cheesecake</t>
  </si>
  <si>
    <t>Strawberry Danish</t>
  </si>
  <si>
    <t>Tart Mixed Berry</t>
  </si>
  <si>
    <t>Tiramisu</t>
  </si>
  <si>
    <t>Tiramisu With Ladyfingers</t>
  </si>
  <si>
    <t>Tomato and Olive Danish</t>
  </si>
  <si>
    <t>Tres Leches Cake</t>
  </si>
  <si>
    <t>Turkey Bacon al Fresco Sandwich</t>
  </si>
  <si>
    <t>Vanilla Eclair</t>
  </si>
  <si>
    <t>Veggie Caprese Sandwich</t>
  </si>
  <si>
    <t>Waffles Birthday Cake</t>
  </si>
  <si>
    <t>Water Bottle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</si>
</sst>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464F-83EE-483B-AC34-81DCAC7B381D}">
  <dimension ref="A1:F183"/>
  <sheetViews>
    <sheetView tabSelected="1" workbookViewId="0">
      <selection activeCell="A2" sqref="A2"/>
    </sheetView>
  </sheetViews>
  <sheetFormatPr defaultRowHeight="14.4" x14ac:dyDescent="0.3"/>
  <cols>
    <col min="1" max="1" width="35.5546875" bestFit="1" customWidth="1"/>
    <col min="2" max="2" width="8.21875" bestFit="1" customWidth="1"/>
    <col min="3" max="3" width="15.88671875" bestFit="1" customWidth="1"/>
    <col min="4" max="4" width="11.33203125" bestFit="1" customWidth="1"/>
    <col min="5" max="5" width="13.6640625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1.04</v>
      </c>
      <c r="D2">
        <v>3.95</v>
      </c>
      <c r="E2" s="1">
        <f>((D2-C2)/C2)</f>
        <v>2.7980769230769229</v>
      </c>
      <c r="F2" s="1">
        <f>1-(C2/D2)</f>
        <v>0.7367088607594936</v>
      </c>
    </row>
    <row r="3" spans="1:6" x14ac:dyDescent="0.3">
      <c r="A3" t="s">
        <v>8</v>
      </c>
      <c r="B3" t="s">
        <v>7</v>
      </c>
      <c r="C3">
        <v>1.3</v>
      </c>
      <c r="D3">
        <v>3.95</v>
      </c>
      <c r="E3" s="1">
        <f t="shared" ref="E3:E10" si="0">((D3-C3)/C3)</f>
        <v>2.0384615384615388</v>
      </c>
      <c r="F3" s="1">
        <f t="shared" ref="F3:F10" si="1">1-(C3/D3)</f>
        <v>0.67088607594936711</v>
      </c>
    </row>
    <row r="4" spans="1:6" x14ac:dyDescent="0.3">
      <c r="A4" t="s">
        <v>9</v>
      </c>
      <c r="B4" t="s">
        <v>7</v>
      </c>
      <c r="C4">
        <v>1.3</v>
      </c>
      <c r="D4">
        <v>3.95</v>
      </c>
      <c r="E4" s="1">
        <f t="shared" si="0"/>
        <v>2.0384615384615388</v>
      </c>
      <c r="F4" s="1">
        <f t="shared" si="1"/>
        <v>0.67088607594936711</v>
      </c>
    </row>
    <row r="5" spans="1:6" x14ac:dyDescent="0.3">
      <c r="A5" t="s">
        <v>10</v>
      </c>
      <c r="B5" t="s">
        <v>7</v>
      </c>
      <c r="C5">
        <v>1.64</v>
      </c>
      <c r="D5">
        <v>3.95</v>
      </c>
      <c r="E5" s="1">
        <f t="shared" si="0"/>
        <v>1.408536585365854</v>
      </c>
      <c r="F5" s="1">
        <f t="shared" si="1"/>
        <v>0.58481012658227849</v>
      </c>
    </row>
    <row r="6" spans="1:6" x14ac:dyDescent="0.3">
      <c r="A6" t="s">
        <v>11</v>
      </c>
      <c r="B6" t="s">
        <v>7</v>
      </c>
      <c r="C6">
        <v>1.54</v>
      </c>
      <c r="D6">
        <v>3.95</v>
      </c>
      <c r="E6" s="1">
        <f t="shared" si="0"/>
        <v>1.5649350649350651</v>
      </c>
      <c r="F6" s="1">
        <f t="shared" si="1"/>
        <v>0.61012658227848104</v>
      </c>
    </row>
    <row r="7" spans="1:6" x14ac:dyDescent="0.3">
      <c r="A7" t="s">
        <v>12</v>
      </c>
      <c r="B7" t="s">
        <v>7</v>
      </c>
      <c r="C7">
        <v>1.2</v>
      </c>
      <c r="D7">
        <v>5.55</v>
      </c>
      <c r="E7" s="1">
        <f t="shared" si="0"/>
        <v>3.625</v>
      </c>
      <c r="F7" s="1">
        <f t="shared" si="1"/>
        <v>0.78378378378378377</v>
      </c>
    </row>
    <row r="8" spans="1:6" x14ac:dyDescent="0.3">
      <c r="A8" t="s">
        <v>13</v>
      </c>
      <c r="B8" t="s">
        <v>7</v>
      </c>
      <c r="C8">
        <v>1.02</v>
      </c>
      <c r="D8">
        <v>4.8499999999999996</v>
      </c>
      <c r="E8" s="1">
        <f t="shared" si="0"/>
        <v>3.7549019607843133</v>
      </c>
      <c r="F8" s="1">
        <f t="shared" si="1"/>
        <v>0.78969072164948451</v>
      </c>
    </row>
    <row r="9" spans="1:6" x14ac:dyDescent="0.3">
      <c r="A9" t="s">
        <v>14</v>
      </c>
      <c r="B9" t="s">
        <v>7</v>
      </c>
      <c r="C9">
        <v>1.1299999999999999</v>
      </c>
      <c r="D9">
        <v>5.2</v>
      </c>
      <c r="E9" s="1">
        <f t="shared" si="0"/>
        <v>3.6017699115044253</v>
      </c>
      <c r="F9" s="1">
        <f t="shared" si="1"/>
        <v>0.78269230769230769</v>
      </c>
    </row>
    <row r="10" spans="1:6" x14ac:dyDescent="0.3">
      <c r="A10" t="s">
        <v>15</v>
      </c>
      <c r="B10" t="s">
        <v>7</v>
      </c>
      <c r="C10">
        <v>1.54</v>
      </c>
      <c r="D10">
        <v>6.4</v>
      </c>
      <c r="E10" s="1">
        <f t="shared" si="0"/>
        <v>3.1558441558441559</v>
      </c>
      <c r="F10" s="1">
        <f t="shared" si="1"/>
        <v>0.75937500000000002</v>
      </c>
    </row>
    <row r="11" spans="1:6" x14ac:dyDescent="0.3">
      <c r="A11" t="s">
        <v>17</v>
      </c>
      <c r="B11" t="s">
        <v>7</v>
      </c>
      <c r="C11">
        <v>0.11</v>
      </c>
      <c r="D11">
        <v>2.15</v>
      </c>
      <c r="E11" s="1">
        <f>((D11-C11)/C11)</f>
        <v>18.545454545454547</v>
      </c>
      <c r="F11" s="1">
        <f>1-(C11/D11)</f>
        <v>0.94883720930232562</v>
      </c>
    </row>
    <row r="12" spans="1:6" x14ac:dyDescent="0.3">
      <c r="A12" t="s">
        <v>18</v>
      </c>
      <c r="B12" t="s">
        <v>7</v>
      </c>
      <c r="C12">
        <v>1.3</v>
      </c>
      <c r="D12">
        <v>3.25</v>
      </c>
      <c r="E12" s="1">
        <f>((D12-C12)/C12)</f>
        <v>1.5</v>
      </c>
      <c r="F12" s="1">
        <f>1-(C12/D12)</f>
        <v>0.6</v>
      </c>
    </row>
    <row r="13" spans="1:6" x14ac:dyDescent="0.3">
      <c r="A13" t="s">
        <v>19</v>
      </c>
      <c r="B13" t="s">
        <v>7</v>
      </c>
      <c r="C13">
        <v>1.24</v>
      </c>
      <c r="D13">
        <v>5.5</v>
      </c>
      <c r="E13" s="1">
        <f>((D13-C13)/C13)</f>
        <v>3.435483870967742</v>
      </c>
      <c r="F13" s="1">
        <f>1-(C13/D13)</f>
        <v>0.77454545454545454</v>
      </c>
    </row>
    <row r="14" spans="1:6" x14ac:dyDescent="0.3">
      <c r="A14" t="s">
        <v>20</v>
      </c>
      <c r="B14" t="s">
        <v>7</v>
      </c>
      <c r="C14">
        <v>1.79</v>
      </c>
      <c r="D14">
        <v>7.15</v>
      </c>
      <c r="E14" s="1">
        <f>((D14-C14)/C14)</f>
        <v>2.994413407821229</v>
      </c>
      <c r="F14" s="1">
        <f>1-(C14/D14)</f>
        <v>0.74965034965034971</v>
      </c>
    </row>
    <row r="15" spans="1:6" x14ac:dyDescent="0.3">
      <c r="A15" t="s">
        <v>22</v>
      </c>
      <c r="B15" t="s">
        <v>7</v>
      </c>
      <c r="C15">
        <v>1.21</v>
      </c>
      <c r="D15">
        <v>5.45</v>
      </c>
      <c r="E15" s="1">
        <f>((D15-C15)/C15)</f>
        <v>3.504132231404959</v>
      </c>
      <c r="F15" s="1">
        <f>1-(C15/D15)</f>
        <v>0.77798165137614683</v>
      </c>
    </row>
    <row r="16" spans="1:6" x14ac:dyDescent="0.3">
      <c r="A16" t="s">
        <v>23</v>
      </c>
      <c r="B16" t="s">
        <v>7</v>
      </c>
      <c r="C16">
        <v>0.45</v>
      </c>
      <c r="D16">
        <v>3.15</v>
      </c>
      <c r="E16" s="1">
        <f>((D16-C16)/C16)</f>
        <v>5.9999999999999991</v>
      </c>
      <c r="F16" s="1">
        <f>1-(C16/D16)</f>
        <v>0.8571428571428571</v>
      </c>
    </row>
    <row r="17" spans="1:6" x14ac:dyDescent="0.3">
      <c r="A17" t="s">
        <v>24</v>
      </c>
      <c r="B17" t="s">
        <v>25</v>
      </c>
      <c r="C17">
        <v>1.7</v>
      </c>
      <c r="D17">
        <v>5.95</v>
      </c>
      <c r="E17" s="1">
        <f>((D17-C17)/C17)</f>
        <v>2.5</v>
      </c>
      <c r="F17" s="1">
        <f>1-(C17/D17)</f>
        <v>0.7142857142857143</v>
      </c>
    </row>
    <row r="18" spans="1:6" x14ac:dyDescent="0.3">
      <c r="A18" t="s">
        <v>24</v>
      </c>
      <c r="B18" t="s">
        <v>26</v>
      </c>
      <c r="C18">
        <v>2.08</v>
      </c>
      <c r="D18">
        <v>6.95</v>
      </c>
      <c r="E18" s="1">
        <f>((D18-C18)/C18)</f>
        <v>2.3413461538461537</v>
      </c>
      <c r="F18" s="1">
        <f>1-(C18/D18)</f>
        <v>0.70071942446043167</v>
      </c>
    </row>
    <row r="19" spans="1:6" x14ac:dyDescent="0.3">
      <c r="A19" t="s">
        <v>24</v>
      </c>
      <c r="B19" t="s">
        <v>27</v>
      </c>
      <c r="C19">
        <v>2.46</v>
      </c>
      <c r="D19">
        <v>5</v>
      </c>
      <c r="E19" s="1">
        <f>((D19-C19)/C19)</f>
        <v>1.032520325203252</v>
      </c>
      <c r="F19" s="1">
        <f>1-(C19/D19)</f>
        <v>0.50800000000000001</v>
      </c>
    </row>
    <row r="20" spans="1:6" x14ac:dyDescent="0.3">
      <c r="A20" t="s">
        <v>28</v>
      </c>
      <c r="B20" t="s">
        <v>25</v>
      </c>
      <c r="C20">
        <v>1.22</v>
      </c>
      <c r="D20">
        <v>5.95</v>
      </c>
      <c r="E20" s="1">
        <f>((D20-C20)/C20)</f>
        <v>3.8770491803278695</v>
      </c>
      <c r="F20" s="1">
        <f>1-(C20/D20)</f>
        <v>0.79495798319327737</v>
      </c>
    </row>
    <row r="21" spans="1:6" x14ac:dyDescent="0.3">
      <c r="A21" t="s">
        <v>28</v>
      </c>
      <c r="B21" t="s">
        <v>26</v>
      </c>
      <c r="C21">
        <v>1.37</v>
      </c>
      <c r="D21">
        <v>6.95</v>
      </c>
      <c r="E21" s="1">
        <f>((D21-C21)/C21)</f>
        <v>4.0729927007299267</v>
      </c>
      <c r="F21" s="1">
        <f>1-(C21/D21)</f>
        <v>0.80287769784172658</v>
      </c>
    </row>
    <row r="22" spans="1:6" x14ac:dyDescent="0.3">
      <c r="A22" t="s">
        <v>28</v>
      </c>
      <c r="B22" t="s">
        <v>27</v>
      </c>
      <c r="C22">
        <v>1.52</v>
      </c>
      <c r="D22">
        <v>5</v>
      </c>
      <c r="E22" s="1">
        <f>((D22-C22)/C22)</f>
        <v>2.2894736842105261</v>
      </c>
      <c r="F22" s="1">
        <f>1-(C22/D22)</f>
        <v>0.69599999999999995</v>
      </c>
    </row>
    <row r="23" spans="1:6" x14ac:dyDescent="0.3">
      <c r="A23" t="s">
        <v>29</v>
      </c>
      <c r="B23" t="s">
        <v>7</v>
      </c>
      <c r="C23">
        <v>1.5</v>
      </c>
      <c r="D23">
        <v>3.65</v>
      </c>
      <c r="E23" s="1">
        <f>((D23-C23)/C23)</f>
        <v>1.4333333333333333</v>
      </c>
      <c r="F23" s="1">
        <f>1-(C23/D23)</f>
        <v>0.58904109589041087</v>
      </c>
    </row>
    <row r="24" spans="1:6" x14ac:dyDescent="0.3">
      <c r="A24" t="s">
        <v>30</v>
      </c>
      <c r="B24" t="s">
        <v>7</v>
      </c>
      <c r="C24">
        <v>1.69</v>
      </c>
      <c r="D24">
        <v>6.85</v>
      </c>
      <c r="E24" s="1">
        <f>((D24-C24)/C24)</f>
        <v>3.0532544378698225</v>
      </c>
      <c r="F24" s="1">
        <f>1-(C24/D24)</f>
        <v>0.75328467153284673</v>
      </c>
    </row>
    <row r="25" spans="1:6" x14ac:dyDescent="0.3">
      <c r="A25" t="s">
        <v>31</v>
      </c>
      <c r="B25" t="s">
        <v>25</v>
      </c>
      <c r="C25">
        <v>2</v>
      </c>
      <c r="D25">
        <v>4.25</v>
      </c>
      <c r="E25" s="1">
        <f>((D25-C25)/C25)</f>
        <v>1.125</v>
      </c>
      <c r="F25" s="1">
        <f>1-(C25/D25)</f>
        <v>0.52941176470588236</v>
      </c>
    </row>
    <row r="26" spans="1:6" x14ac:dyDescent="0.3">
      <c r="A26" t="s">
        <v>31</v>
      </c>
      <c r="B26" t="s">
        <v>26</v>
      </c>
      <c r="C26">
        <v>2.5</v>
      </c>
      <c r="D26">
        <v>4.45</v>
      </c>
      <c r="E26" s="1">
        <f>((D26-C26)/C26)</f>
        <v>0.78</v>
      </c>
      <c r="F26" s="1">
        <f>1-(C26/D26)</f>
        <v>0.43820224719101131</v>
      </c>
    </row>
    <row r="27" spans="1:6" x14ac:dyDescent="0.3">
      <c r="A27" t="s">
        <v>32</v>
      </c>
      <c r="B27" t="s">
        <v>25</v>
      </c>
      <c r="C27">
        <v>1.58</v>
      </c>
      <c r="D27">
        <v>3.25</v>
      </c>
      <c r="E27" s="1">
        <f>((D27-C27)/C27)</f>
        <v>1.0569620253164556</v>
      </c>
      <c r="F27" s="1">
        <f>1-(C27/D27)</f>
        <v>0.51384615384615384</v>
      </c>
    </row>
    <row r="28" spans="1:6" x14ac:dyDescent="0.3">
      <c r="A28" t="s">
        <v>32</v>
      </c>
      <c r="B28" t="s">
        <v>26</v>
      </c>
      <c r="C28">
        <v>1.97</v>
      </c>
      <c r="D28">
        <v>3.65</v>
      </c>
      <c r="E28" s="1">
        <f>((D28-C28)/C28)</f>
        <v>0.85279187817258884</v>
      </c>
      <c r="F28" s="1">
        <f>1-(C28/D28)</f>
        <v>0.46027397260273972</v>
      </c>
    </row>
    <row r="29" spans="1:6" x14ac:dyDescent="0.3">
      <c r="A29" t="s">
        <v>32</v>
      </c>
      <c r="B29" t="s">
        <v>27</v>
      </c>
      <c r="C29">
        <v>2.36</v>
      </c>
      <c r="D29">
        <v>4.05</v>
      </c>
      <c r="E29" s="1">
        <f>((D29-C29)/C29)</f>
        <v>0.71610169491525422</v>
      </c>
      <c r="F29" s="1">
        <f>1-(C29/D29)</f>
        <v>0.41728395061728396</v>
      </c>
    </row>
    <row r="30" spans="1:6" x14ac:dyDescent="0.3">
      <c r="A30" t="s">
        <v>33</v>
      </c>
      <c r="B30" t="s">
        <v>25</v>
      </c>
      <c r="C30">
        <v>1.27</v>
      </c>
      <c r="D30">
        <v>4.95</v>
      </c>
      <c r="E30" s="1">
        <f>((D30-C30)/C30)</f>
        <v>2.8976377952755907</v>
      </c>
      <c r="F30" s="1">
        <f>1-(C30/D30)</f>
        <v>0.74343434343434345</v>
      </c>
    </row>
    <row r="31" spans="1:6" x14ac:dyDescent="0.3">
      <c r="A31" t="s">
        <v>33</v>
      </c>
      <c r="B31" t="s">
        <v>26</v>
      </c>
      <c r="C31">
        <v>1.59</v>
      </c>
      <c r="D31">
        <v>5.45</v>
      </c>
      <c r="E31" s="1">
        <f>((D31-C31)/C31)</f>
        <v>2.4276729559748427</v>
      </c>
      <c r="F31" s="1">
        <f>1-(C31/D31)</f>
        <v>0.70825688073394488</v>
      </c>
    </row>
    <row r="32" spans="1:6" x14ac:dyDescent="0.3">
      <c r="A32" t="s">
        <v>33</v>
      </c>
      <c r="B32" t="s">
        <v>27</v>
      </c>
      <c r="C32">
        <v>1.9</v>
      </c>
      <c r="D32">
        <v>5.85</v>
      </c>
      <c r="E32" s="1">
        <f>((D32-C32)/C32)</f>
        <v>2.0789473684210527</v>
      </c>
      <c r="F32" s="1">
        <f>1-(C32/D32)</f>
        <v>0.67521367521367526</v>
      </c>
    </row>
    <row r="33" spans="1:6" x14ac:dyDescent="0.3">
      <c r="A33" t="s">
        <v>34</v>
      </c>
      <c r="B33" t="s">
        <v>7</v>
      </c>
      <c r="C33">
        <v>3.5</v>
      </c>
      <c r="D33">
        <v>8.25</v>
      </c>
      <c r="E33" s="1">
        <f>((D33-C33)/C33)</f>
        <v>1.3571428571428572</v>
      </c>
      <c r="F33" s="1">
        <f>1-(C33/D33)</f>
        <v>0.57575757575757569</v>
      </c>
    </row>
    <row r="34" spans="1:6" x14ac:dyDescent="0.3">
      <c r="A34" t="s">
        <v>35</v>
      </c>
      <c r="B34" t="s">
        <v>25</v>
      </c>
      <c r="C34">
        <v>1.03</v>
      </c>
      <c r="D34">
        <v>5.25</v>
      </c>
      <c r="E34" s="1">
        <f>((D34-C34)/C34)</f>
        <v>4.0970873786407767</v>
      </c>
      <c r="F34" s="1">
        <f>1-(C34/D34)</f>
        <v>0.80380952380952375</v>
      </c>
    </row>
    <row r="35" spans="1:6" x14ac:dyDescent="0.3">
      <c r="A35" t="s">
        <v>35</v>
      </c>
      <c r="B35" t="s">
        <v>26</v>
      </c>
      <c r="C35">
        <v>1.28</v>
      </c>
      <c r="D35">
        <v>5.65</v>
      </c>
      <c r="E35" s="1">
        <f>((D35-C35)/C35)</f>
        <v>3.4140625</v>
      </c>
      <c r="F35" s="1">
        <f>1-(C35/D35)</f>
        <v>0.77345132743362832</v>
      </c>
    </row>
    <row r="36" spans="1:6" x14ac:dyDescent="0.3">
      <c r="A36" t="s">
        <v>35</v>
      </c>
      <c r="B36" t="s">
        <v>27</v>
      </c>
      <c r="C36">
        <v>1.54</v>
      </c>
      <c r="D36">
        <v>6.25</v>
      </c>
      <c r="E36" s="1">
        <f>((D36-C36)/C36)</f>
        <v>3.0584415584415585</v>
      </c>
      <c r="F36" s="1">
        <f>1-(C36/D36)</f>
        <v>0.75360000000000005</v>
      </c>
    </row>
    <row r="37" spans="1:6" x14ac:dyDescent="0.3">
      <c r="A37" t="s">
        <v>36</v>
      </c>
      <c r="B37" t="s">
        <v>7</v>
      </c>
      <c r="C37">
        <v>3.12</v>
      </c>
      <c r="D37">
        <v>7.95</v>
      </c>
      <c r="E37" s="1">
        <f>((D37-C37)/C37)</f>
        <v>1.5480769230769231</v>
      </c>
      <c r="F37" s="1">
        <f>1-(C37/D37)</f>
        <v>0.60754716981132073</v>
      </c>
    </row>
    <row r="38" spans="1:6" x14ac:dyDescent="0.3">
      <c r="A38" t="s">
        <v>37</v>
      </c>
      <c r="B38" t="s">
        <v>7</v>
      </c>
      <c r="C38">
        <v>3.01</v>
      </c>
      <c r="D38">
        <v>7.25</v>
      </c>
      <c r="E38" s="1">
        <f>((D38-C38)/C38)</f>
        <v>1.4086378737541529</v>
      </c>
      <c r="F38" s="1">
        <f>1-(C38/D38)</f>
        <v>0.58482758620689657</v>
      </c>
    </row>
    <row r="39" spans="1:6" x14ac:dyDescent="0.3">
      <c r="A39" t="s">
        <v>38</v>
      </c>
      <c r="B39" t="s">
        <v>7</v>
      </c>
      <c r="C39">
        <v>2.0299999999999998</v>
      </c>
      <c r="D39">
        <v>6.95</v>
      </c>
      <c r="E39" s="1">
        <f>((D39-C39)/C39)</f>
        <v>2.4236453201970445</v>
      </c>
      <c r="F39" s="1">
        <f>1-(C39/D39)</f>
        <v>0.70791366906474829</v>
      </c>
    </row>
    <row r="40" spans="1:6" x14ac:dyDescent="0.3">
      <c r="A40" t="s">
        <v>39</v>
      </c>
      <c r="B40" t="s">
        <v>7</v>
      </c>
      <c r="C40">
        <v>2.29</v>
      </c>
      <c r="D40">
        <v>8.65</v>
      </c>
      <c r="E40" s="1">
        <f>((D40-C40)/C40)</f>
        <v>2.7772925764192142</v>
      </c>
      <c r="F40" s="1">
        <f>1-(C40/D40)</f>
        <v>0.73526011560693649</v>
      </c>
    </row>
    <row r="41" spans="1:6" x14ac:dyDescent="0.3">
      <c r="A41" t="s">
        <v>40</v>
      </c>
      <c r="B41" t="s">
        <v>7</v>
      </c>
      <c r="C41">
        <v>1.71</v>
      </c>
      <c r="D41">
        <v>6.95</v>
      </c>
      <c r="E41" s="1">
        <f>((D41-C41)/C41)</f>
        <v>3.064327485380117</v>
      </c>
      <c r="F41" s="1">
        <f>1-(C41/D41)</f>
        <v>0.75395683453237416</v>
      </c>
    </row>
    <row r="42" spans="1:6" x14ac:dyDescent="0.3">
      <c r="A42" t="s">
        <v>41</v>
      </c>
      <c r="B42" t="s">
        <v>7</v>
      </c>
      <c r="C42">
        <v>1.34</v>
      </c>
      <c r="D42">
        <v>3.95</v>
      </c>
      <c r="E42" s="1">
        <f>((D42-C42)/C42)</f>
        <v>1.9477611940298509</v>
      </c>
      <c r="F42" s="1">
        <f>1-(C42/D42)</f>
        <v>0.66075949367088604</v>
      </c>
    </row>
    <row r="43" spans="1:6" x14ac:dyDescent="0.3">
      <c r="A43" t="s">
        <v>42</v>
      </c>
      <c r="B43" t="s">
        <v>7</v>
      </c>
      <c r="C43">
        <v>1.27</v>
      </c>
      <c r="D43">
        <v>6.95</v>
      </c>
      <c r="E43" s="1">
        <f>((D43-C43)/C43)</f>
        <v>4.4724409448818898</v>
      </c>
      <c r="F43" s="1">
        <f>1-(C43/D43)</f>
        <v>0.81726618705035969</v>
      </c>
    </row>
    <row r="44" spans="1:6" x14ac:dyDescent="0.3">
      <c r="A44" t="s">
        <v>43</v>
      </c>
      <c r="B44" t="s">
        <v>7</v>
      </c>
      <c r="C44">
        <v>1.28</v>
      </c>
      <c r="D44">
        <v>3.25</v>
      </c>
      <c r="E44" s="1">
        <f>((D44-C44)/C44)</f>
        <v>1.5390625</v>
      </c>
      <c r="F44" s="1">
        <f>1-(C44/D44)</f>
        <v>0.60615384615384615</v>
      </c>
    </row>
    <row r="45" spans="1:6" x14ac:dyDescent="0.3">
      <c r="A45" t="s">
        <v>44</v>
      </c>
      <c r="B45" t="s">
        <v>7</v>
      </c>
      <c r="C45">
        <v>2.04</v>
      </c>
      <c r="D45">
        <v>4.45</v>
      </c>
      <c r="E45" s="1">
        <f>((D45-C45)/C45)</f>
        <v>1.1813725490196079</v>
      </c>
      <c r="F45" s="1">
        <f>1-(C45/D45)</f>
        <v>0.54157303370786525</v>
      </c>
    </row>
    <row r="46" spans="1:6" x14ac:dyDescent="0.3">
      <c r="A46" t="s">
        <v>45</v>
      </c>
      <c r="B46" t="s">
        <v>7</v>
      </c>
      <c r="C46">
        <v>3.06</v>
      </c>
      <c r="D46">
        <v>8.85</v>
      </c>
      <c r="E46" s="1">
        <f>((D46-C46)/C46)</f>
        <v>1.8921568627450978</v>
      </c>
      <c r="F46" s="1">
        <f>1-(C46/D46)</f>
        <v>0.65423728813559312</v>
      </c>
    </row>
    <row r="47" spans="1:6" x14ac:dyDescent="0.3">
      <c r="A47" t="s">
        <v>46</v>
      </c>
      <c r="B47" t="s">
        <v>7</v>
      </c>
      <c r="C47">
        <v>2.64</v>
      </c>
      <c r="D47">
        <v>6.55</v>
      </c>
      <c r="E47" s="1">
        <f>((D47-C47)/C47)</f>
        <v>1.481060606060606</v>
      </c>
      <c r="F47" s="1">
        <f>1-(C47/D47)</f>
        <v>0.59694656488549613</v>
      </c>
    </row>
    <row r="48" spans="1:6" x14ac:dyDescent="0.3">
      <c r="A48" t="s">
        <v>47</v>
      </c>
      <c r="B48" t="s">
        <v>7</v>
      </c>
      <c r="C48">
        <v>3.52</v>
      </c>
      <c r="D48">
        <v>9.4499999999999993</v>
      </c>
      <c r="E48" s="1">
        <f>((D48-C48)/C48)</f>
        <v>1.6846590909090908</v>
      </c>
      <c r="F48" s="1">
        <f>1-(C48/D48)</f>
        <v>0.62751322751322747</v>
      </c>
    </row>
    <row r="49" spans="1:6" x14ac:dyDescent="0.3">
      <c r="A49" t="s">
        <v>48</v>
      </c>
      <c r="B49" t="s">
        <v>7</v>
      </c>
      <c r="C49">
        <v>0.75</v>
      </c>
      <c r="D49">
        <v>2.95</v>
      </c>
      <c r="E49" s="1">
        <f>((D49-C49)/C49)</f>
        <v>2.9333333333333336</v>
      </c>
      <c r="F49" s="1">
        <f>1-(C49/D49)</f>
        <v>0.74576271186440679</v>
      </c>
    </row>
    <row r="50" spans="1:6" x14ac:dyDescent="0.3">
      <c r="A50" t="s">
        <v>49</v>
      </c>
      <c r="B50" t="s">
        <v>7</v>
      </c>
      <c r="C50">
        <v>2.4500000000000002</v>
      </c>
      <c r="D50">
        <v>4.45</v>
      </c>
      <c r="E50" s="1">
        <f>((D50-C50)/C50)</f>
        <v>0.81632653061224481</v>
      </c>
      <c r="F50" s="1">
        <f>1-(C50/D50)</f>
        <v>0.449438202247191</v>
      </c>
    </row>
    <row r="51" spans="1:6" x14ac:dyDescent="0.3">
      <c r="A51" t="s">
        <v>50</v>
      </c>
      <c r="B51" t="s">
        <v>7</v>
      </c>
      <c r="C51">
        <v>2.04</v>
      </c>
      <c r="D51">
        <v>4.45</v>
      </c>
      <c r="E51" s="1">
        <f>((D51-C51)/C51)</f>
        <v>1.1813725490196079</v>
      </c>
      <c r="F51" s="1">
        <f>1-(C51/D51)</f>
        <v>0.54157303370786525</v>
      </c>
    </row>
    <row r="52" spans="1:6" x14ac:dyDescent="0.3">
      <c r="A52" t="s">
        <v>51</v>
      </c>
      <c r="B52" t="s">
        <v>25</v>
      </c>
      <c r="C52">
        <v>2.68</v>
      </c>
      <c r="D52">
        <v>5.95</v>
      </c>
      <c r="E52" s="1">
        <f>((D52-C52)/C52)</f>
        <v>1.2201492537313432</v>
      </c>
      <c r="F52" s="1">
        <f>1-(C52/D52)</f>
        <v>0.54957983193277316</v>
      </c>
    </row>
    <row r="53" spans="1:6" x14ac:dyDescent="0.3">
      <c r="A53" t="s">
        <v>51</v>
      </c>
      <c r="B53" t="s">
        <v>26</v>
      </c>
      <c r="C53">
        <v>2.76</v>
      </c>
      <c r="D53">
        <v>6.45</v>
      </c>
      <c r="E53" s="1">
        <f>((D53-C53)/C53)</f>
        <v>1.3369565217391306</v>
      </c>
      <c r="F53" s="1">
        <f>1-(C53/D53)</f>
        <v>0.57209302325581401</v>
      </c>
    </row>
    <row r="54" spans="1:6" x14ac:dyDescent="0.3">
      <c r="A54" t="s">
        <v>51</v>
      </c>
      <c r="B54" t="s">
        <v>27</v>
      </c>
      <c r="C54">
        <v>2.85</v>
      </c>
      <c r="D54">
        <v>6.95</v>
      </c>
      <c r="E54" s="1">
        <f>((D54-C54)/C54)</f>
        <v>1.43859649122807</v>
      </c>
      <c r="F54" s="1">
        <f>1-(C54/D54)</f>
        <v>0.58992805755395683</v>
      </c>
    </row>
    <row r="55" spans="1:6" x14ac:dyDescent="0.3">
      <c r="A55" t="s">
        <v>52</v>
      </c>
      <c r="B55" t="s">
        <v>25</v>
      </c>
      <c r="C55">
        <v>2.99</v>
      </c>
      <c r="D55">
        <v>5.95</v>
      </c>
      <c r="E55" s="1">
        <f>((D55-C55)/C55)</f>
        <v>0.98996655518394638</v>
      </c>
      <c r="F55" s="1">
        <f>1-(C55/D55)</f>
        <v>0.49747899159663866</v>
      </c>
    </row>
    <row r="56" spans="1:6" x14ac:dyDescent="0.3">
      <c r="A56" t="s">
        <v>52</v>
      </c>
      <c r="B56" t="s">
        <v>26</v>
      </c>
      <c r="C56">
        <v>3.15</v>
      </c>
      <c r="D56">
        <v>6.45</v>
      </c>
      <c r="E56" s="1">
        <f>((D56-C56)/C56)</f>
        <v>1.0476190476190477</v>
      </c>
      <c r="F56" s="1">
        <f>1-(C56/D56)</f>
        <v>0.51162790697674421</v>
      </c>
    </row>
    <row r="57" spans="1:6" x14ac:dyDescent="0.3">
      <c r="A57" t="s">
        <v>52</v>
      </c>
      <c r="B57" t="s">
        <v>27</v>
      </c>
      <c r="C57">
        <v>3.32</v>
      </c>
      <c r="D57">
        <v>6.95</v>
      </c>
      <c r="E57" s="1">
        <f>((D57-C57)/C57)</f>
        <v>1.0933734939759037</v>
      </c>
      <c r="F57" s="1">
        <f>1-(C57/D57)</f>
        <v>0.52230215827338133</v>
      </c>
    </row>
    <row r="58" spans="1:6" x14ac:dyDescent="0.3">
      <c r="A58" t="s">
        <v>53</v>
      </c>
      <c r="B58" t="s">
        <v>25</v>
      </c>
      <c r="C58">
        <v>1.91</v>
      </c>
      <c r="D58">
        <v>5.95</v>
      </c>
      <c r="E58" s="1">
        <f>((D58-C58)/C58)</f>
        <v>2.1151832460732987</v>
      </c>
      <c r="F58" s="1">
        <f>1-(C58/D58)</f>
        <v>0.67899159663865549</v>
      </c>
    </row>
    <row r="59" spans="1:6" x14ac:dyDescent="0.3">
      <c r="A59" t="s">
        <v>53</v>
      </c>
      <c r="B59" t="s">
        <v>26</v>
      </c>
      <c r="C59">
        <v>2.08</v>
      </c>
      <c r="D59">
        <v>6.45</v>
      </c>
      <c r="E59" s="1">
        <f>((D59-C59)/C59)</f>
        <v>2.1009615384615383</v>
      </c>
      <c r="F59" s="1">
        <f>1-(C59/D59)</f>
        <v>0.67751937984496124</v>
      </c>
    </row>
    <row r="60" spans="1:6" x14ac:dyDescent="0.3">
      <c r="A60" t="s">
        <v>53</v>
      </c>
      <c r="B60" t="s">
        <v>27</v>
      </c>
      <c r="C60">
        <v>2.2400000000000002</v>
      </c>
      <c r="D60">
        <v>6.95</v>
      </c>
      <c r="E60" s="1">
        <f>((D60-C60)/C60)</f>
        <v>2.1026785714285712</v>
      </c>
      <c r="F60" s="1">
        <f>1-(C60/D60)</f>
        <v>0.67769784172661862</v>
      </c>
    </row>
    <row r="61" spans="1:6" x14ac:dyDescent="0.3">
      <c r="A61" t="s">
        <v>54</v>
      </c>
      <c r="B61" t="s">
        <v>25</v>
      </c>
      <c r="C61">
        <v>1.6</v>
      </c>
      <c r="D61">
        <v>5.95</v>
      </c>
      <c r="E61" s="1">
        <f>((D61-C61)/C61)</f>
        <v>2.7187499999999996</v>
      </c>
      <c r="F61" s="1">
        <f>1-(C61/D61)</f>
        <v>0.73109243697478998</v>
      </c>
    </row>
    <row r="62" spans="1:6" x14ac:dyDescent="0.3">
      <c r="A62" t="s">
        <v>54</v>
      </c>
      <c r="B62" t="s">
        <v>26</v>
      </c>
      <c r="C62">
        <v>1.69</v>
      </c>
      <c r="D62">
        <v>6.45</v>
      </c>
      <c r="E62" s="1">
        <f>((D62-C62)/C62)</f>
        <v>2.8165680473372783</v>
      </c>
      <c r="F62" s="1">
        <f>1-(C62/D62)</f>
        <v>0.73798449612403094</v>
      </c>
    </row>
    <row r="63" spans="1:6" x14ac:dyDescent="0.3">
      <c r="A63" t="s">
        <v>54</v>
      </c>
      <c r="B63" t="s">
        <v>27</v>
      </c>
      <c r="C63">
        <v>1.77</v>
      </c>
      <c r="D63">
        <v>6.95</v>
      </c>
      <c r="E63" s="1">
        <f>((D63-C63)/C63)</f>
        <v>2.9265536723163841</v>
      </c>
      <c r="F63" s="1">
        <f>1-(C63/D63)</f>
        <v>0.74532374100719423</v>
      </c>
    </row>
    <row r="64" spans="1:6" x14ac:dyDescent="0.3">
      <c r="A64" t="s">
        <v>55</v>
      </c>
      <c r="B64" t="s">
        <v>25</v>
      </c>
      <c r="C64">
        <v>1.48</v>
      </c>
      <c r="D64">
        <v>5.95</v>
      </c>
      <c r="E64" s="1">
        <f>((D64-C64)/C64)</f>
        <v>3.0202702702702706</v>
      </c>
      <c r="F64" s="1">
        <f>1-(C64/D64)</f>
        <v>0.75126050420168067</v>
      </c>
    </row>
    <row r="65" spans="1:6" x14ac:dyDescent="0.3">
      <c r="A65" t="s">
        <v>55</v>
      </c>
      <c r="B65" t="s">
        <v>26</v>
      </c>
      <c r="C65">
        <v>1.53</v>
      </c>
      <c r="D65">
        <v>6.45</v>
      </c>
      <c r="E65" s="1">
        <f>((D65-C65)/C65)</f>
        <v>3.2156862745098036</v>
      </c>
      <c r="F65" s="1">
        <f>1-(C65/D65)</f>
        <v>0.76279069767441854</v>
      </c>
    </row>
    <row r="66" spans="1:6" x14ac:dyDescent="0.3">
      <c r="A66" t="s">
        <v>55</v>
      </c>
      <c r="B66" t="s">
        <v>27</v>
      </c>
      <c r="C66">
        <v>1.59</v>
      </c>
      <c r="D66">
        <v>6.95</v>
      </c>
      <c r="E66" s="1">
        <f>((D66-C66)/C66)</f>
        <v>3.3710691823899372</v>
      </c>
      <c r="F66" s="1">
        <f>1-(C66/D66)</f>
        <v>0.77122302158273381</v>
      </c>
    </row>
    <row r="67" spans="1:6" x14ac:dyDescent="0.3">
      <c r="A67" t="s">
        <v>56</v>
      </c>
      <c r="B67" t="s">
        <v>7</v>
      </c>
      <c r="C67">
        <v>1.76</v>
      </c>
      <c r="D67">
        <v>4.45</v>
      </c>
      <c r="E67" s="1">
        <f>((D67-C67)/C67)</f>
        <v>1.5284090909090911</v>
      </c>
      <c r="F67" s="1">
        <f>1-(C67/D67)</f>
        <v>0.60449438202247197</v>
      </c>
    </row>
    <row r="68" spans="1:6" x14ac:dyDescent="0.3">
      <c r="A68" t="s">
        <v>57</v>
      </c>
      <c r="B68" t="s">
        <v>7</v>
      </c>
      <c r="C68">
        <v>2.59</v>
      </c>
      <c r="D68">
        <v>6.35</v>
      </c>
      <c r="E68" s="1">
        <f>((D68-C68)/C68)</f>
        <v>1.4517374517374517</v>
      </c>
      <c r="F68" s="1">
        <f>1-(C68/D68)</f>
        <v>0.5921259842519685</v>
      </c>
    </row>
    <row r="69" spans="1:6" x14ac:dyDescent="0.3">
      <c r="A69" t="s">
        <v>58</v>
      </c>
      <c r="B69" t="s">
        <v>7</v>
      </c>
      <c r="C69">
        <v>1.92</v>
      </c>
      <c r="D69">
        <v>3.45</v>
      </c>
      <c r="E69" s="1">
        <f>((D69-C69)/C69)</f>
        <v>0.79687500000000011</v>
      </c>
      <c r="F69" s="1">
        <f>1-(C69/D69)</f>
        <v>0.44347826086956532</v>
      </c>
    </row>
    <row r="70" spans="1:6" x14ac:dyDescent="0.3">
      <c r="A70" t="s">
        <v>59</v>
      </c>
      <c r="B70" t="s">
        <v>7</v>
      </c>
      <c r="C70">
        <v>1.92</v>
      </c>
      <c r="D70">
        <v>3.35</v>
      </c>
      <c r="E70" s="1">
        <f>((D70-C70)/C70)</f>
        <v>0.74479166666666674</v>
      </c>
      <c r="F70" s="1">
        <f>1-(C70/D70)</f>
        <v>0.42686567164179112</v>
      </c>
    </row>
    <row r="71" spans="1:6" x14ac:dyDescent="0.3">
      <c r="A71" t="s">
        <v>61</v>
      </c>
      <c r="B71" t="s">
        <v>62</v>
      </c>
      <c r="C71">
        <v>0.22</v>
      </c>
      <c r="D71">
        <v>2.95</v>
      </c>
      <c r="E71" s="1">
        <f>((D71-C71)/C71)</f>
        <v>12.409090909090908</v>
      </c>
      <c r="F71" s="1">
        <f>1-(C71/D71)</f>
        <v>0.92542372881355939</v>
      </c>
    </row>
    <row r="72" spans="1:6" x14ac:dyDescent="0.3">
      <c r="A72" t="s">
        <v>63</v>
      </c>
      <c r="B72" t="s">
        <v>7</v>
      </c>
      <c r="C72">
        <v>0.56000000000000005</v>
      </c>
      <c r="D72">
        <v>2.95</v>
      </c>
      <c r="E72" s="1">
        <f>((D72-C72)/C72)</f>
        <v>4.2678571428571423</v>
      </c>
      <c r="F72" s="1">
        <f>1-(C72/D72)</f>
        <v>0.81016949152542372</v>
      </c>
    </row>
    <row r="73" spans="1:6" x14ac:dyDescent="0.3">
      <c r="A73" t="s">
        <v>68</v>
      </c>
      <c r="B73" t="s">
        <v>25</v>
      </c>
      <c r="C73">
        <v>0.64</v>
      </c>
      <c r="D73">
        <v>4.8499999999999996</v>
      </c>
      <c r="E73" s="1">
        <f>((D73-C73)/C73)</f>
        <v>6.578125</v>
      </c>
      <c r="F73" s="1">
        <f>1-(C73/D73)</f>
        <v>0.86804123711340209</v>
      </c>
    </row>
    <row r="74" spans="1:6" x14ac:dyDescent="0.3">
      <c r="A74" t="s">
        <v>69</v>
      </c>
      <c r="B74" t="s">
        <v>7</v>
      </c>
      <c r="C74">
        <v>1.5</v>
      </c>
      <c r="D74">
        <v>3.95</v>
      </c>
      <c r="E74" s="1">
        <f>((D74-C74)/C74)</f>
        <v>1.6333333333333335</v>
      </c>
      <c r="F74" s="1">
        <f>1-(C74/D74)</f>
        <v>0.620253164556962</v>
      </c>
    </row>
    <row r="75" spans="1:6" x14ac:dyDescent="0.3">
      <c r="A75" t="s">
        <v>70</v>
      </c>
      <c r="B75" t="s">
        <v>25</v>
      </c>
      <c r="C75">
        <v>1.9</v>
      </c>
      <c r="D75">
        <v>6.25</v>
      </c>
      <c r="E75" s="1">
        <f>((D75-C75)/C75)</f>
        <v>2.2894736842105261</v>
      </c>
      <c r="F75" s="1">
        <f>1-(C75/D75)</f>
        <v>0.69599999999999995</v>
      </c>
    </row>
    <row r="76" spans="1:6" x14ac:dyDescent="0.3">
      <c r="A76" t="s">
        <v>70</v>
      </c>
      <c r="B76" t="s">
        <v>26</v>
      </c>
      <c r="C76">
        <v>2.2400000000000002</v>
      </c>
      <c r="D76">
        <v>6.65</v>
      </c>
      <c r="E76" s="1">
        <f>((D76-C76)/C76)</f>
        <v>1.9687499999999998</v>
      </c>
      <c r="F76" s="1">
        <f>1-(C76/D76)</f>
        <v>0.66315789473684217</v>
      </c>
    </row>
    <row r="77" spans="1:6" x14ac:dyDescent="0.3">
      <c r="A77" t="s">
        <v>70</v>
      </c>
      <c r="B77" t="s">
        <v>27</v>
      </c>
      <c r="C77">
        <v>2.58</v>
      </c>
      <c r="D77">
        <v>7.05</v>
      </c>
      <c r="E77" s="1">
        <f>((D77-C77)/C77)</f>
        <v>1.7325581395348835</v>
      </c>
      <c r="F77" s="1">
        <f>1-(C77/D77)</f>
        <v>0.63404255319148928</v>
      </c>
    </row>
    <row r="78" spans="1:6" x14ac:dyDescent="0.3">
      <c r="A78" t="s">
        <v>71</v>
      </c>
      <c r="B78" t="s">
        <v>25</v>
      </c>
      <c r="C78">
        <v>1.43</v>
      </c>
      <c r="D78">
        <v>6.25</v>
      </c>
      <c r="E78" s="1">
        <f>((D78-C78)/C78)</f>
        <v>3.3706293706293708</v>
      </c>
      <c r="F78" s="1">
        <f>1-(C78/D78)</f>
        <v>0.7712</v>
      </c>
    </row>
    <row r="79" spans="1:6" x14ac:dyDescent="0.3">
      <c r="A79" t="s">
        <v>71</v>
      </c>
      <c r="B79" t="s">
        <v>26</v>
      </c>
      <c r="C79">
        <v>1.7</v>
      </c>
      <c r="D79">
        <v>6.65</v>
      </c>
      <c r="E79" s="1">
        <f>((D79-C79)/C79)</f>
        <v>2.9117647058823533</v>
      </c>
      <c r="F79" s="1">
        <f>1-(C79/D79)</f>
        <v>0.74436090225563911</v>
      </c>
    </row>
    <row r="80" spans="1:6" x14ac:dyDescent="0.3">
      <c r="A80" t="s">
        <v>71</v>
      </c>
      <c r="B80" t="s">
        <v>27</v>
      </c>
      <c r="C80">
        <v>1.97</v>
      </c>
      <c r="D80">
        <v>7.05</v>
      </c>
      <c r="E80" s="1">
        <f>((D80-C80)/C80)</f>
        <v>2.5786802030456855</v>
      </c>
      <c r="F80" s="1">
        <f>1-(C80/D80)</f>
        <v>0.72056737588652475</v>
      </c>
    </row>
    <row r="81" spans="1:6" x14ac:dyDescent="0.3">
      <c r="A81" t="s">
        <v>72</v>
      </c>
      <c r="B81" t="s">
        <v>25</v>
      </c>
      <c r="C81">
        <v>1.41</v>
      </c>
      <c r="D81">
        <v>6.25</v>
      </c>
      <c r="E81" s="1">
        <f>((D81-C81)/C81)</f>
        <v>3.4326241134751774</v>
      </c>
      <c r="F81" s="1">
        <f>1-(C81/D81)</f>
        <v>0.77439999999999998</v>
      </c>
    </row>
    <row r="82" spans="1:6" x14ac:dyDescent="0.3">
      <c r="A82" t="s">
        <v>72</v>
      </c>
      <c r="B82" t="s">
        <v>26</v>
      </c>
      <c r="C82">
        <v>1.67</v>
      </c>
      <c r="D82">
        <v>6.65</v>
      </c>
      <c r="E82" s="1">
        <f>((D82-C82)/C82)</f>
        <v>2.9820359281437128</v>
      </c>
      <c r="F82" s="1">
        <f>1-(C82/D82)</f>
        <v>0.7488721804511278</v>
      </c>
    </row>
    <row r="83" spans="1:6" x14ac:dyDescent="0.3">
      <c r="A83" t="s">
        <v>72</v>
      </c>
      <c r="B83" t="s">
        <v>27</v>
      </c>
      <c r="C83">
        <v>1.94</v>
      </c>
      <c r="D83">
        <v>7.05</v>
      </c>
      <c r="E83" s="1">
        <f>((D83-C83)/C83)</f>
        <v>2.634020618556701</v>
      </c>
      <c r="F83" s="1">
        <f>1-(C83/D83)</f>
        <v>0.72482269503546104</v>
      </c>
    </row>
    <row r="84" spans="1:6" x14ac:dyDescent="0.3">
      <c r="A84" t="s">
        <v>73</v>
      </c>
      <c r="B84" t="s">
        <v>7</v>
      </c>
      <c r="C84">
        <v>1.1399999999999999</v>
      </c>
      <c r="D84">
        <v>3.25</v>
      </c>
      <c r="E84" s="1">
        <f>((D84-C84)/C84)</f>
        <v>1.8508771929824566</v>
      </c>
      <c r="F84" s="1">
        <f>1-(C84/D84)</f>
        <v>0.64923076923076928</v>
      </c>
    </row>
    <row r="85" spans="1:6" x14ac:dyDescent="0.3">
      <c r="A85" t="s">
        <v>74</v>
      </c>
      <c r="B85" t="s">
        <v>7</v>
      </c>
      <c r="C85">
        <v>0.6</v>
      </c>
      <c r="D85">
        <v>3.95</v>
      </c>
      <c r="E85" s="1">
        <f>((D85-C85)/C85)</f>
        <v>5.5833333333333339</v>
      </c>
      <c r="F85" s="1">
        <f>1-(C85/D85)</f>
        <v>0.84810126582278489</v>
      </c>
    </row>
    <row r="86" spans="1:6" x14ac:dyDescent="0.3">
      <c r="A86" t="s">
        <v>75</v>
      </c>
      <c r="B86" t="s">
        <v>25</v>
      </c>
      <c r="C86">
        <v>0.9</v>
      </c>
      <c r="D86">
        <v>4.25</v>
      </c>
      <c r="E86" s="1">
        <f>((D86-C86)/C86)</f>
        <v>3.7222222222222223</v>
      </c>
      <c r="F86" s="1">
        <f>1-(C86/D86)</f>
        <v>0.78823529411764703</v>
      </c>
    </row>
    <row r="87" spans="1:6" x14ac:dyDescent="0.3">
      <c r="A87" t="s">
        <v>75</v>
      </c>
      <c r="B87" t="s">
        <v>26</v>
      </c>
      <c r="C87">
        <v>1.1399999999999999</v>
      </c>
      <c r="D87">
        <v>4.6500000000000004</v>
      </c>
      <c r="E87" s="1">
        <f>((D87-C87)/C87)</f>
        <v>3.0789473684210535</v>
      </c>
      <c r="F87" s="1">
        <f>1-(C87/D87)</f>
        <v>0.75483870967741939</v>
      </c>
    </row>
    <row r="88" spans="1:6" x14ac:dyDescent="0.3">
      <c r="A88" t="s">
        <v>75</v>
      </c>
      <c r="B88" t="s">
        <v>27</v>
      </c>
      <c r="C88">
        <v>1.38</v>
      </c>
      <c r="D88">
        <v>5.05</v>
      </c>
      <c r="E88" s="1">
        <f>((D88-C88)/C88)</f>
        <v>2.6594202898550727</v>
      </c>
      <c r="F88" s="1">
        <f>1-(C88/D88)</f>
        <v>0.72673267326732671</v>
      </c>
    </row>
    <row r="89" spans="1:6" x14ac:dyDescent="0.3">
      <c r="A89" t="s">
        <v>76</v>
      </c>
      <c r="B89" t="s">
        <v>25</v>
      </c>
      <c r="C89">
        <v>2.31</v>
      </c>
      <c r="D89">
        <v>3.95</v>
      </c>
      <c r="E89" s="1">
        <f>((D89-C89)/C89)</f>
        <v>0.70995670995671001</v>
      </c>
      <c r="F89" s="1">
        <f>1-(C89/D89)</f>
        <v>0.41518987341772151</v>
      </c>
    </row>
    <row r="90" spans="1:6" x14ac:dyDescent="0.3">
      <c r="A90" t="s">
        <v>77</v>
      </c>
      <c r="B90" t="s">
        <v>7</v>
      </c>
      <c r="C90">
        <v>0.15</v>
      </c>
      <c r="D90">
        <v>0.4</v>
      </c>
      <c r="E90" s="1">
        <f>((D90-C90)/C90)</f>
        <v>1.6666666666666667</v>
      </c>
      <c r="F90" s="1">
        <f>1-(C90/D90)</f>
        <v>0.625</v>
      </c>
    </row>
    <row r="91" spans="1:6" x14ac:dyDescent="0.3">
      <c r="A91" t="s">
        <v>78</v>
      </c>
      <c r="B91" t="s">
        <v>25</v>
      </c>
      <c r="C91">
        <v>2.33</v>
      </c>
      <c r="D91">
        <v>4.25</v>
      </c>
      <c r="E91" s="1">
        <f>((D91-C91)/C91)</f>
        <v>0.82403433476394849</v>
      </c>
      <c r="F91" s="1">
        <f>1-(C91/D91)</f>
        <v>0.45176470588235296</v>
      </c>
    </row>
    <row r="92" spans="1:6" x14ac:dyDescent="0.3">
      <c r="A92" t="s">
        <v>76</v>
      </c>
      <c r="B92" t="s">
        <v>26</v>
      </c>
      <c r="C92">
        <v>2.89</v>
      </c>
      <c r="D92">
        <v>4.45</v>
      </c>
      <c r="E92" s="1">
        <f>((D92-C92)/C92)</f>
        <v>0.53979238754325254</v>
      </c>
      <c r="F92" s="1">
        <f>1-(C92/D92)</f>
        <v>0.35056179775280893</v>
      </c>
    </row>
    <row r="93" spans="1:6" x14ac:dyDescent="0.3">
      <c r="A93" t="s">
        <v>79</v>
      </c>
      <c r="B93" t="s">
        <v>25</v>
      </c>
      <c r="C93">
        <v>1.1599999999999999</v>
      </c>
      <c r="D93">
        <v>5.25</v>
      </c>
      <c r="E93" s="1">
        <f>((D93-C93)/C93)</f>
        <v>3.5258620689655173</v>
      </c>
      <c r="F93" s="1">
        <f>1-(C93/D93)</f>
        <v>0.7790476190476191</v>
      </c>
    </row>
    <row r="94" spans="1:6" x14ac:dyDescent="0.3">
      <c r="A94" t="s">
        <v>79</v>
      </c>
      <c r="B94" t="s">
        <v>26</v>
      </c>
      <c r="C94">
        <v>1.39</v>
      </c>
      <c r="D94">
        <v>5.65</v>
      </c>
      <c r="E94" s="1">
        <f>((D94-C94)/C94)</f>
        <v>3.0647482014388494</v>
      </c>
      <c r="F94" s="1">
        <f>1-(C94/D94)</f>
        <v>0.75398230088495577</v>
      </c>
    </row>
    <row r="95" spans="1:6" x14ac:dyDescent="0.3">
      <c r="A95" t="s">
        <v>79</v>
      </c>
      <c r="B95" t="s">
        <v>27</v>
      </c>
      <c r="C95">
        <v>1.63</v>
      </c>
      <c r="D95">
        <v>6.25</v>
      </c>
      <c r="E95" s="1">
        <f>((D95-C95)/C95)</f>
        <v>2.834355828220859</v>
      </c>
      <c r="F95" s="1">
        <f>1-(C95/D95)</f>
        <v>0.73920000000000008</v>
      </c>
    </row>
    <row r="96" spans="1:6" x14ac:dyDescent="0.3">
      <c r="A96" t="s">
        <v>80</v>
      </c>
      <c r="B96" t="s">
        <v>25</v>
      </c>
      <c r="C96">
        <v>1.24</v>
      </c>
      <c r="D96">
        <v>4.95</v>
      </c>
      <c r="E96" s="1">
        <f>((D96-C96)/C96)</f>
        <v>2.9919354838709675</v>
      </c>
      <c r="F96" s="1">
        <f>1-(C96/D96)</f>
        <v>0.74949494949494944</v>
      </c>
    </row>
    <row r="97" spans="1:6" x14ac:dyDescent="0.3">
      <c r="A97" t="s">
        <v>80</v>
      </c>
      <c r="B97" t="s">
        <v>26</v>
      </c>
      <c r="C97">
        <v>1.55</v>
      </c>
      <c r="D97">
        <v>5.45</v>
      </c>
      <c r="E97" s="1">
        <f>((D97-C97)/C97)</f>
        <v>2.5161290322580645</v>
      </c>
      <c r="F97" s="1">
        <f>1-(C97/D97)</f>
        <v>0.71559633027522929</v>
      </c>
    </row>
    <row r="98" spans="1:6" x14ac:dyDescent="0.3">
      <c r="A98" t="s">
        <v>80</v>
      </c>
      <c r="B98" t="s">
        <v>27</v>
      </c>
      <c r="C98">
        <v>1.86</v>
      </c>
      <c r="D98">
        <v>5.85</v>
      </c>
      <c r="E98" s="1">
        <f>((D98-C98)/C98)</f>
        <v>2.1451612903225801</v>
      </c>
      <c r="F98" s="1">
        <f>1-(C98/D98)</f>
        <v>0.68205128205128207</v>
      </c>
    </row>
    <row r="99" spans="1:6" x14ac:dyDescent="0.3">
      <c r="A99" t="s">
        <v>81</v>
      </c>
      <c r="B99" t="s">
        <v>25</v>
      </c>
      <c r="C99">
        <v>0.82</v>
      </c>
      <c r="D99">
        <v>5.25</v>
      </c>
      <c r="E99" s="1">
        <f>((D99-C99)/C99)</f>
        <v>5.4024390243902438</v>
      </c>
      <c r="F99" s="1">
        <f>1-(C99/D99)</f>
        <v>0.84380952380952379</v>
      </c>
    </row>
    <row r="100" spans="1:6" x14ac:dyDescent="0.3">
      <c r="A100" t="s">
        <v>81</v>
      </c>
      <c r="B100" t="s">
        <v>26</v>
      </c>
      <c r="C100">
        <v>0.99</v>
      </c>
      <c r="D100">
        <v>5.65</v>
      </c>
      <c r="E100" s="1">
        <f>((D100-C100)/C100)</f>
        <v>4.7070707070707076</v>
      </c>
      <c r="F100" s="1">
        <f>1-(C100/D100)</f>
        <v>0.82477876106194692</v>
      </c>
    </row>
    <row r="101" spans="1:6" x14ac:dyDescent="0.3">
      <c r="A101" t="s">
        <v>81</v>
      </c>
      <c r="B101" t="s">
        <v>27</v>
      </c>
      <c r="C101">
        <v>1.1599999999999999</v>
      </c>
      <c r="D101">
        <v>6.05</v>
      </c>
      <c r="E101" s="1">
        <f>((D101-C101)/C101)</f>
        <v>4.2155172413793105</v>
      </c>
      <c r="F101" s="1">
        <f>1-(C101/D101)</f>
        <v>0.80826446280991737</v>
      </c>
    </row>
    <row r="102" spans="1:6" x14ac:dyDescent="0.3">
      <c r="A102" t="s">
        <v>82</v>
      </c>
      <c r="B102" t="s">
        <v>25</v>
      </c>
      <c r="C102">
        <v>1.44</v>
      </c>
      <c r="D102">
        <v>6.45</v>
      </c>
      <c r="E102" s="1">
        <f>((D102-C102)/C102)</f>
        <v>3.4791666666666665</v>
      </c>
      <c r="F102" s="1">
        <f>1-(C102/D102)</f>
        <v>0.77674418604651163</v>
      </c>
    </row>
    <row r="103" spans="1:6" x14ac:dyDescent="0.3">
      <c r="A103" t="s">
        <v>82</v>
      </c>
      <c r="B103" t="s">
        <v>26</v>
      </c>
      <c r="C103">
        <v>1.69</v>
      </c>
      <c r="D103">
        <v>7.45</v>
      </c>
      <c r="E103" s="1">
        <f>((D103-C103)/C103)</f>
        <v>3.4082840236686391</v>
      </c>
      <c r="F103" s="1">
        <f>1-(C103/D103)</f>
        <v>0.77315436241610735</v>
      </c>
    </row>
    <row r="104" spans="1:6" x14ac:dyDescent="0.3">
      <c r="A104" t="s">
        <v>82</v>
      </c>
      <c r="B104" t="s">
        <v>27</v>
      </c>
      <c r="C104">
        <v>1.93</v>
      </c>
      <c r="D104">
        <v>7.95</v>
      </c>
      <c r="E104" s="1">
        <f>((D104-C104)/C104)</f>
        <v>3.119170984455959</v>
      </c>
      <c r="F104" s="1">
        <f>1-(C104/D104)</f>
        <v>0.75723270440251578</v>
      </c>
    </row>
    <row r="105" spans="1:6" x14ac:dyDescent="0.3">
      <c r="A105" t="s">
        <v>83</v>
      </c>
      <c r="B105" t="s">
        <v>25</v>
      </c>
      <c r="C105">
        <v>1.24</v>
      </c>
      <c r="D105">
        <v>5.55</v>
      </c>
      <c r="E105" s="1">
        <f>((D105-C105)/C105)</f>
        <v>3.475806451612903</v>
      </c>
      <c r="F105" s="1">
        <f>1-(C105/D105)</f>
        <v>0.77657657657657664</v>
      </c>
    </row>
    <row r="106" spans="1:6" x14ac:dyDescent="0.3">
      <c r="A106" t="s">
        <v>83</v>
      </c>
      <c r="B106" t="s">
        <v>26</v>
      </c>
      <c r="C106">
        <v>1.52</v>
      </c>
      <c r="D106">
        <v>6.15</v>
      </c>
      <c r="E106" s="1">
        <f>((D106-C106)/C106)</f>
        <v>3.0460526315789478</v>
      </c>
      <c r="F106" s="1">
        <f>1-(C106/D106)</f>
        <v>0.75284552845528463</v>
      </c>
    </row>
    <row r="107" spans="1:6" x14ac:dyDescent="0.3">
      <c r="A107" t="s">
        <v>83</v>
      </c>
      <c r="B107" t="s">
        <v>27</v>
      </c>
      <c r="C107">
        <v>1.79</v>
      </c>
      <c r="D107">
        <v>6.55</v>
      </c>
      <c r="E107" s="1">
        <f>((D107-C107)/C107)</f>
        <v>2.6592178770949717</v>
      </c>
      <c r="F107" s="1">
        <f>1-(C107/D107)</f>
        <v>0.72671755725190845</v>
      </c>
    </row>
    <row r="108" spans="1:6" x14ac:dyDescent="0.3">
      <c r="A108" t="s">
        <v>84</v>
      </c>
      <c r="B108" t="s">
        <v>25</v>
      </c>
      <c r="C108">
        <v>1.43</v>
      </c>
      <c r="D108">
        <v>5.75</v>
      </c>
      <c r="E108" s="1">
        <f>((D108-C108)/C108)</f>
        <v>3.0209790209790213</v>
      </c>
      <c r="F108" s="1">
        <f>1-(C108/D108)</f>
        <v>0.75130434782608702</v>
      </c>
    </row>
    <row r="109" spans="1:6" x14ac:dyDescent="0.3">
      <c r="A109" t="s">
        <v>84</v>
      </c>
      <c r="B109" t="s">
        <v>26</v>
      </c>
      <c r="C109">
        <v>1.71</v>
      </c>
      <c r="D109">
        <v>6.15</v>
      </c>
      <c r="E109" s="1">
        <f>((D109-C109)/C109)</f>
        <v>2.5964912280701755</v>
      </c>
      <c r="F109" s="1">
        <f>1-(C109/D109)</f>
        <v>0.7219512195121951</v>
      </c>
    </row>
    <row r="110" spans="1:6" x14ac:dyDescent="0.3">
      <c r="A110" t="s">
        <v>84</v>
      </c>
      <c r="B110" t="s">
        <v>27</v>
      </c>
      <c r="C110">
        <v>1.99</v>
      </c>
      <c r="D110">
        <v>7.95</v>
      </c>
      <c r="E110" s="1">
        <f>((D110-C110)/C110)</f>
        <v>2.9949748743718594</v>
      </c>
      <c r="F110" s="1">
        <f>1-(C110/D110)</f>
        <v>0.74968553459119502</v>
      </c>
    </row>
    <row r="111" spans="1:6" x14ac:dyDescent="0.3">
      <c r="A111" t="s">
        <v>85</v>
      </c>
      <c r="B111" t="s">
        <v>7</v>
      </c>
      <c r="C111">
        <v>2.0699999999999998</v>
      </c>
      <c r="D111">
        <v>7.25</v>
      </c>
      <c r="E111" s="1">
        <f>((D111-C111)/C111)</f>
        <v>2.5024154589371981</v>
      </c>
      <c r="F111" s="1">
        <f>1-(C111/D111)</f>
        <v>0.71448275862068966</v>
      </c>
    </row>
    <row r="112" spans="1:6" x14ac:dyDescent="0.3">
      <c r="A112" t="s">
        <v>86</v>
      </c>
      <c r="B112" t="s">
        <v>25</v>
      </c>
      <c r="C112">
        <v>0.81</v>
      </c>
      <c r="D112">
        <v>5.25</v>
      </c>
      <c r="E112" s="1">
        <f>((D112-C112)/C112)</f>
        <v>5.4814814814814801</v>
      </c>
      <c r="F112" s="1">
        <f>1-(C112/D112)</f>
        <v>0.84571428571428564</v>
      </c>
    </row>
    <row r="113" spans="1:6" x14ac:dyDescent="0.3">
      <c r="A113" t="s">
        <v>86</v>
      </c>
      <c r="B113" t="s">
        <v>26</v>
      </c>
      <c r="C113">
        <v>1.01</v>
      </c>
      <c r="D113">
        <v>5.65</v>
      </c>
      <c r="E113" s="1">
        <f>((D113-C113)/C113)</f>
        <v>4.5940594059405946</v>
      </c>
      <c r="F113" s="1">
        <f>1-(C113/D113)</f>
        <v>0.82123893805309733</v>
      </c>
    </row>
    <row r="114" spans="1:6" x14ac:dyDescent="0.3">
      <c r="A114" t="s">
        <v>86</v>
      </c>
      <c r="B114" t="s">
        <v>27</v>
      </c>
      <c r="C114">
        <v>1.21</v>
      </c>
      <c r="D114">
        <v>6.05</v>
      </c>
      <c r="E114" s="1">
        <f>((D114-C114)/C114)</f>
        <v>4</v>
      </c>
      <c r="F114" s="1">
        <f>1-(C114/D114)</f>
        <v>0.8</v>
      </c>
    </row>
    <row r="115" spans="1:6" x14ac:dyDescent="0.3">
      <c r="A115" t="s">
        <v>87</v>
      </c>
      <c r="B115" t="s">
        <v>25</v>
      </c>
      <c r="C115">
        <v>1.27</v>
      </c>
      <c r="D115">
        <v>5.55</v>
      </c>
      <c r="E115" s="1">
        <f>((D115-C115)/C115)</f>
        <v>3.3700787401574797</v>
      </c>
      <c r="F115" s="1">
        <f>1-(C115/D115)</f>
        <v>0.77117117117117118</v>
      </c>
    </row>
    <row r="116" spans="1:6" x14ac:dyDescent="0.3">
      <c r="A116" t="s">
        <v>87</v>
      </c>
      <c r="B116" t="s">
        <v>26</v>
      </c>
      <c r="C116">
        <v>1.59</v>
      </c>
      <c r="D116">
        <v>6.15</v>
      </c>
      <c r="E116" s="1">
        <f>((D116-C116)/C116)</f>
        <v>2.867924528301887</v>
      </c>
      <c r="F116" s="1">
        <f>1-(C116/D116)</f>
        <v>0.74146341463414633</v>
      </c>
    </row>
    <row r="117" spans="1:6" x14ac:dyDescent="0.3">
      <c r="A117" t="s">
        <v>87</v>
      </c>
      <c r="B117" t="s">
        <v>27</v>
      </c>
      <c r="C117">
        <v>1.9</v>
      </c>
      <c r="D117">
        <v>6.55</v>
      </c>
      <c r="E117" s="1">
        <f>((D117-C117)/C117)</f>
        <v>2.4473684210526319</v>
      </c>
      <c r="F117" s="1">
        <f>1-(C117/D117)</f>
        <v>0.70992366412213737</v>
      </c>
    </row>
    <row r="118" spans="1:6" x14ac:dyDescent="0.3">
      <c r="A118" t="s">
        <v>88</v>
      </c>
      <c r="B118" t="s">
        <v>7</v>
      </c>
      <c r="C118">
        <v>1.92</v>
      </c>
      <c r="D118">
        <v>4.95</v>
      </c>
      <c r="E118" s="1">
        <f>((D118-C118)/C118)</f>
        <v>1.5781250000000002</v>
      </c>
      <c r="F118" s="1">
        <f>1-(C118/D118)</f>
        <v>0.61212121212121218</v>
      </c>
    </row>
    <row r="119" spans="1:6" x14ac:dyDescent="0.3">
      <c r="A119" t="s">
        <v>89</v>
      </c>
      <c r="B119" t="s">
        <v>7</v>
      </c>
      <c r="C119">
        <v>1.08</v>
      </c>
      <c r="D119">
        <v>3.25</v>
      </c>
      <c r="E119" s="1">
        <f>((D119-C119)/C119)</f>
        <v>2.0092592592592591</v>
      </c>
      <c r="F119" s="1">
        <f>1-(C119/D119)</f>
        <v>0.6676923076923077</v>
      </c>
    </row>
    <row r="120" spans="1:6" x14ac:dyDescent="0.3">
      <c r="A120" t="s">
        <v>78</v>
      </c>
      <c r="B120" t="s">
        <v>26</v>
      </c>
      <c r="C120">
        <v>2.88</v>
      </c>
      <c r="D120">
        <v>4.45</v>
      </c>
      <c r="E120" s="1">
        <f>((D120-C120)/C120)</f>
        <v>0.54513888888888906</v>
      </c>
      <c r="F120" s="1">
        <f>1-(C120/D120)</f>
        <v>0.35280898876404498</v>
      </c>
    </row>
    <row r="121" spans="1:6" x14ac:dyDescent="0.3">
      <c r="A121" t="s">
        <v>90</v>
      </c>
      <c r="B121" t="s">
        <v>7</v>
      </c>
      <c r="C121">
        <v>1.4</v>
      </c>
      <c r="D121">
        <v>4.95</v>
      </c>
      <c r="E121" s="1">
        <f>((D121-C121)/C121)</f>
        <v>2.535714285714286</v>
      </c>
      <c r="F121" s="1">
        <f>1-(C121/D121)</f>
        <v>0.71717171717171713</v>
      </c>
    </row>
    <row r="122" spans="1:6" x14ac:dyDescent="0.3">
      <c r="A122" t="s">
        <v>91</v>
      </c>
      <c r="B122" t="s">
        <v>7</v>
      </c>
      <c r="C122">
        <v>3.47</v>
      </c>
      <c r="D122">
        <v>7.95</v>
      </c>
      <c r="E122" s="1">
        <f>((D122-C122)/C122)</f>
        <v>1.2910662824207493</v>
      </c>
      <c r="F122" s="1">
        <f>1-(C122/D122)</f>
        <v>0.56352201257861634</v>
      </c>
    </row>
    <row r="123" spans="1:6" x14ac:dyDescent="0.3">
      <c r="A123" t="s">
        <v>92</v>
      </c>
      <c r="B123" t="s">
        <v>25</v>
      </c>
      <c r="C123">
        <v>1.38</v>
      </c>
      <c r="D123">
        <v>5.75</v>
      </c>
      <c r="E123" s="1">
        <f>((D123-C123)/C123)</f>
        <v>3.166666666666667</v>
      </c>
      <c r="F123" s="1">
        <f>1-(C123/D123)</f>
        <v>0.76</v>
      </c>
    </row>
    <row r="124" spans="1:6" x14ac:dyDescent="0.3">
      <c r="A124" t="s">
        <v>92</v>
      </c>
      <c r="B124" t="s">
        <v>26</v>
      </c>
      <c r="C124">
        <v>1.68</v>
      </c>
      <c r="D124">
        <v>6.15</v>
      </c>
      <c r="E124" s="1">
        <f>((D124-C124)/C124)</f>
        <v>2.660714285714286</v>
      </c>
      <c r="F124" s="1">
        <f>1-(C124/D124)</f>
        <v>0.72682926829268291</v>
      </c>
    </row>
    <row r="125" spans="1:6" x14ac:dyDescent="0.3">
      <c r="A125" t="s">
        <v>92</v>
      </c>
      <c r="B125" t="s">
        <v>27</v>
      </c>
      <c r="C125">
        <v>1.98</v>
      </c>
      <c r="D125">
        <v>6.55</v>
      </c>
      <c r="E125" s="1">
        <f>((D125-C125)/C125)</f>
        <v>2.3080808080808084</v>
      </c>
      <c r="F125" s="1">
        <f>1-(C125/D125)</f>
        <v>0.69770992366412221</v>
      </c>
    </row>
    <row r="126" spans="1:6" x14ac:dyDescent="0.3">
      <c r="A126" t="s">
        <v>60</v>
      </c>
      <c r="B126" t="s">
        <v>7</v>
      </c>
      <c r="C126">
        <v>2.23</v>
      </c>
      <c r="D126">
        <v>3.45</v>
      </c>
      <c r="E126" s="1">
        <f>((D126-C126)/C126)</f>
        <v>0.54708520179372211</v>
      </c>
      <c r="F126" s="1">
        <f>1-(C126/D126)</f>
        <v>0.3536231884057971</v>
      </c>
    </row>
    <row r="127" spans="1:6" x14ac:dyDescent="0.3">
      <c r="A127" t="s">
        <v>21</v>
      </c>
      <c r="B127" t="s">
        <v>7</v>
      </c>
      <c r="C127">
        <v>2.5</v>
      </c>
      <c r="D127">
        <v>3.95</v>
      </c>
      <c r="E127" s="1">
        <f>((D127-C127)/C127)</f>
        <v>0.58000000000000007</v>
      </c>
      <c r="F127" s="1">
        <f>1-(C127/D127)</f>
        <v>0.36708860759493678</v>
      </c>
    </row>
    <row r="128" spans="1:6" x14ac:dyDescent="0.3">
      <c r="A128" t="s">
        <v>93</v>
      </c>
      <c r="B128" t="s">
        <v>7</v>
      </c>
      <c r="C128">
        <v>3.41</v>
      </c>
      <c r="D128">
        <v>11.95</v>
      </c>
      <c r="E128" s="1">
        <f>((D128-C128)/C128)</f>
        <v>2.5043988269794717</v>
      </c>
      <c r="F128" s="1">
        <f>1-(C128/D128)</f>
        <v>0.71464435146443517</v>
      </c>
    </row>
    <row r="129" spans="1:6" x14ac:dyDescent="0.3">
      <c r="A129" t="s">
        <v>121</v>
      </c>
      <c r="B129" t="s">
        <v>7</v>
      </c>
      <c r="C129">
        <v>3.08</v>
      </c>
      <c r="D129">
        <v>5</v>
      </c>
      <c r="E129" s="1">
        <f>((D129-C129)/C129)</f>
        <v>0.62337662337662336</v>
      </c>
      <c r="F129" s="1">
        <f>1-(C129/D129)</f>
        <v>0.38400000000000001</v>
      </c>
    </row>
    <row r="130" spans="1:6" x14ac:dyDescent="0.3">
      <c r="A130" t="s">
        <v>94</v>
      </c>
      <c r="B130" t="s">
        <v>7</v>
      </c>
      <c r="C130">
        <v>2.5099999999999998</v>
      </c>
      <c r="D130">
        <v>6.35</v>
      </c>
      <c r="E130" s="1">
        <f>((D130-C130)/C130)</f>
        <v>1.5298804780876494</v>
      </c>
      <c r="F130" s="1">
        <f>1-(C130/D130)</f>
        <v>0.60472440944881889</v>
      </c>
    </row>
    <row r="131" spans="1:6" x14ac:dyDescent="0.3">
      <c r="A131" t="s">
        <v>95</v>
      </c>
      <c r="B131" t="s">
        <v>7</v>
      </c>
      <c r="C131">
        <v>1.1299999999999999</v>
      </c>
      <c r="D131">
        <v>3.25</v>
      </c>
      <c r="E131" s="1">
        <f>((D131-C131)/C131)</f>
        <v>1.8761061946902657</v>
      </c>
      <c r="F131" s="1">
        <f>1-(C131/D131)</f>
        <v>0.65230769230769237</v>
      </c>
    </row>
    <row r="132" spans="1:6" x14ac:dyDescent="0.3">
      <c r="A132" t="s">
        <v>96</v>
      </c>
      <c r="B132" t="s">
        <v>7</v>
      </c>
      <c r="C132">
        <v>1.69</v>
      </c>
      <c r="D132">
        <v>5</v>
      </c>
      <c r="E132" s="1">
        <f>((D132-C132)/C132)</f>
        <v>1.9585798816568047</v>
      </c>
      <c r="F132" s="1">
        <f>1-(C132/D132)</f>
        <v>0.66200000000000003</v>
      </c>
    </row>
    <row r="133" spans="1:6" x14ac:dyDescent="0.3">
      <c r="A133" t="s">
        <v>97</v>
      </c>
      <c r="B133" t="s">
        <v>7</v>
      </c>
      <c r="C133">
        <v>0.38</v>
      </c>
      <c r="D133">
        <v>2.95</v>
      </c>
      <c r="E133" s="1">
        <f>((D133-C133)/C133)</f>
        <v>6.7631578947368425</v>
      </c>
      <c r="F133" s="1">
        <f>1-(C133/D133)</f>
        <v>0.87118644067796613</v>
      </c>
    </row>
    <row r="134" spans="1:6" x14ac:dyDescent="0.3">
      <c r="A134" t="s">
        <v>98</v>
      </c>
      <c r="B134" t="s">
        <v>7</v>
      </c>
      <c r="C134">
        <v>4.3600000000000003</v>
      </c>
      <c r="D134">
        <v>9.9499999999999993</v>
      </c>
      <c r="E134" s="1">
        <f>((D134-C134)/C134)</f>
        <v>1.282110091743119</v>
      </c>
      <c r="F134" s="1">
        <f>1-(C134/D134)</f>
        <v>0.56180904522613062</v>
      </c>
    </row>
    <row r="135" spans="1:6" x14ac:dyDescent="0.3">
      <c r="A135" t="s">
        <v>99</v>
      </c>
      <c r="B135" t="s">
        <v>7</v>
      </c>
      <c r="C135">
        <v>1.98</v>
      </c>
      <c r="D135">
        <v>6.95</v>
      </c>
      <c r="E135" s="1">
        <f>((D135-C135)/C135)</f>
        <v>2.5101010101010104</v>
      </c>
      <c r="F135" s="1">
        <f>1-(C135/D135)</f>
        <v>0.71510791366906479</v>
      </c>
    </row>
    <row r="136" spans="1:6" x14ac:dyDescent="0.3">
      <c r="A136" t="s">
        <v>100</v>
      </c>
      <c r="B136" t="s">
        <v>7</v>
      </c>
      <c r="C136">
        <v>1.03</v>
      </c>
      <c r="D136">
        <v>4.95</v>
      </c>
      <c r="E136" s="1">
        <f>((D136-C136)/C136)</f>
        <v>3.8058252427184462</v>
      </c>
      <c r="F136" s="1">
        <f>1-(C136/D136)</f>
        <v>0.79191919191919191</v>
      </c>
    </row>
    <row r="137" spans="1:6" x14ac:dyDescent="0.3">
      <c r="A137" t="s">
        <v>101</v>
      </c>
      <c r="B137" t="s">
        <v>7</v>
      </c>
      <c r="C137">
        <v>2.46</v>
      </c>
      <c r="D137">
        <v>6.75</v>
      </c>
      <c r="E137" s="1">
        <f>((D137-C137)/C137)</f>
        <v>1.7439024390243902</v>
      </c>
      <c r="F137" s="1">
        <f>1-(C137/D137)</f>
        <v>0.63555555555555554</v>
      </c>
    </row>
    <row r="138" spans="1:6" x14ac:dyDescent="0.3">
      <c r="A138" t="s">
        <v>102</v>
      </c>
      <c r="B138" t="s">
        <v>7</v>
      </c>
      <c r="C138">
        <v>3.41</v>
      </c>
      <c r="D138">
        <v>8.9499999999999993</v>
      </c>
      <c r="E138" s="1">
        <f>((D138-C138)/C138)</f>
        <v>1.6246334310850437</v>
      </c>
      <c r="F138" s="1">
        <f>1-(C138/D138)</f>
        <v>0.61899441340782113</v>
      </c>
    </row>
    <row r="139" spans="1:6" x14ac:dyDescent="0.3">
      <c r="A139" t="s">
        <v>103</v>
      </c>
      <c r="B139" t="s">
        <v>7</v>
      </c>
      <c r="C139">
        <v>1.04</v>
      </c>
      <c r="D139">
        <v>3.45</v>
      </c>
      <c r="E139" s="1">
        <f>((D139-C139)/C139)</f>
        <v>2.3173076923076925</v>
      </c>
      <c r="F139" s="1">
        <f>1-(C139/D139)</f>
        <v>0.6985507246376812</v>
      </c>
    </row>
    <row r="140" spans="1:6" x14ac:dyDescent="0.3">
      <c r="A140" t="s">
        <v>104</v>
      </c>
      <c r="B140" t="s">
        <v>7</v>
      </c>
      <c r="C140">
        <v>1.04</v>
      </c>
      <c r="D140">
        <v>3.95</v>
      </c>
      <c r="E140" s="1">
        <f>((D140-C140)/C140)</f>
        <v>2.7980769230769229</v>
      </c>
      <c r="F140" s="1">
        <f>1-(C140/D140)</f>
        <v>0.7367088607594936</v>
      </c>
    </row>
    <row r="141" spans="1:6" x14ac:dyDescent="0.3">
      <c r="A141" t="s">
        <v>105</v>
      </c>
      <c r="B141" t="s">
        <v>7</v>
      </c>
      <c r="C141">
        <v>0.16</v>
      </c>
      <c r="D141">
        <v>2.95</v>
      </c>
      <c r="E141" s="1">
        <f>((D141-C141)/C141)</f>
        <v>17.4375</v>
      </c>
      <c r="F141" s="1">
        <f>1-(C141/D141)</f>
        <v>0.94576271186440675</v>
      </c>
    </row>
    <row r="142" spans="1:6" x14ac:dyDescent="0.3">
      <c r="A142" t="s">
        <v>106</v>
      </c>
      <c r="B142" t="s">
        <v>7</v>
      </c>
      <c r="C142">
        <v>1.04</v>
      </c>
      <c r="D142">
        <v>3.95</v>
      </c>
      <c r="E142" s="1">
        <f>((D142-C142)/C142)</f>
        <v>2.7980769230769229</v>
      </c>
      <c r="F142" s="1">
        <f>1-(C142/D142)</f>
        <v>0.7367088607594936</v>
      </c>
    </row>
    <row r="143" spans="1:6" x14ac:dyDescent="0.3">
      <c r="A143" t="s">
        <v>107</v>
      </c>
      <c r="B143" t="s">
        <v>7</v>
      </c>
      <c r="C143">
        <v>2.76</v>
      </c>
      <c r="D143">
        <v>9.9499999999999993</v>
      </c>
      <c r="E143" s="1">
        <f>((D143-C143)/C143)</f>
        <v>2.6050724637681157</v>
      </c>
      <c r="F143" s="1">
        <f>1-(C143/D143)</f>
        <v>0.72261306532663316</v>
      </c>
    </row>
    <row r="144" spans="1:6" x14ac:dyDescent="0.3">
      <c r="A144" t="s">
        <v>16</v>
      </c>
      <c r="B144" t="s">
        <v>7</v>
      </c>
      <c r="C144">
        <v>3.07</v>
      </c>
      <c r="D144">
        <v>5</v>
      </c>
      <c r="E144" s="1">
        <f>((D144-C144)/C144)</f>
        <v>0.62866449511400657</v>
      </c>
      <c r="F144" s="1">
        <f>1-(C144/D144)</f>
        <v>0.38600000000000001</v>
      </c>
    </row>
    <row r="145" spans="1:6" x14ac:dyDescent="0.3">
      <c r="A145" t="s">
        <v>108</v>
      </c>
      <c r="B145" t="s">
        <v>25</v>
      </c>
      <c r="C145">
        <v>2.2000000000000002</v>
      </c>
      <c r="D145">
        <v>6.65</v>
      </c>
      <c r="E145" s="1">
        <f>((D145-C145)/C145)</f>
        <v>2.0227272727272725</v>
      </c>
      <c r="F145" s="1">
        <f>1-(C145/D145)</f>
        <v>0.66917293233082709</v>
      </c>
    </row>
    <row r="146" spans="1:6" x14ac:dyDescent="0.3">
      <c r="A146" t="s">
        <v>108</v>
      </c>
      <c r="B146" t="s">
        <v>26</v>
      </c>
      <c r="C146">
        <v>2.57</v>
      </c>
      <c r="D146">
        <v>7.25</v>
      </c>
      <c r="E146" s="1">
        <f>((D146-C146)/C146)</f>
        <v>1.8210116731517509</v>
      </c>
      <c r="F146" s="1">
        <f>1-(C146/D146)</f>
        <v>0.64551724137931044</v>
      </c>
    </row>
    <row r="147" spans="1:6" x14ac:dyDescent="0.3">
      <c r="A147" t="s">
        <v>108</v>
      </c>
      <c r="B147" t="s">
        <v>27</v>
      </c>
      <c r="C147">
        <v>2.93</v>
      </c>
      <c r="D147">
        <v>7.65</v>
      </c>
      <c r="E147" s="1">
        <f>((D147-C147)/C147)</f>
        <v>1.6109215017064848</v>
      </c>
      <c r="F147" s="1">
        <f>1-(C147/D147)</f>
        <v>0.61699346405228761</v>
      </c>
    </row>
    <row r="148" spans="1:6" x14ac:dyDescent="0.3">
      <c r="A148" t="s">
        <v>109</v>
      </c>
      <c r="B148" t="s">
        <v>25</v>
      </c>
      <c r="C148">
        <v>2.2000000000000002</v>
      </c>
      <c r="D148">
        <v>6.65</v>
      </c>
      <c r="E148" s="1">
        <f>((D148-C148)/C148)</f>
        <v>2.0227272727272725</v>
      </c>
      <c r="F148" s="1">
        <f>1-(C148/D148)</f>
        <v>0.66917293233082709</v>
      </c>
    </row>
    <row r="149" spans="1:6" x14ac:dyDescent="0.3">
      <c r="A149" t="s">
        <v>109</v>
      </c>
      <c r="B149" t="s">
        <v>26</v>
      </c>
      <c r="C149">
        <v>2.57</v>
      </c>
      <c r="D149">
        <v>7.25</v>
      </c>
      <c r="E149" s="1">
        <f>((D149-C149)/C149)</f>
        <v>1.8210116731517509</v>
      </c>
      <c r="F149" s="1">
        <f>1-(C149/D149)</f>
        <v>0.64551724137931044</v>
      </c>
    </row>
    <row r="150" spans="1:6" x14ac:dyDescent="0.3">
      <c r="A150" t="s">
        <v>109</v>
      </c>
      <c r="B150" t="s">
        <v>27</v>
      </c>
      <c r="C150">
        <v>2.94</v>
      </c>
      <c r="D150">
        <v>7.65</v>
      </c>
      <c r="E150" s="1">
        <f>((D150-C150)/C150)</f>
        <v>1.6020408163265309</v>
      </c>
      <c r="F150" s="1">
        <f>1-(C150/D150)</f>
        <v>0.61568627450980395</v>
      </c>
    </row>
    <row r="151" spans="1:6" x14ac:dyDescent="0.3">
      <c r="A151" t="s">
        <v>110</v>
      </c>
      <c r="B151" t="s">
        <v>25</v>
      </c>
      <c r="C151">
        <v>2.34</v>
      </c>
      <c r="D151">
        <v>5.65</v>
      </c>
      <c r="E151" s="1">
        <f>((D151-C151)/C151)</f>
        <v>1.4145299145299148</v>
      </c>
      <c r="F151" s="1">
        <f>1-(C151/D151)</f>
        <v>0.58584070796460175</v>
      </c>
    </row>
    <row r="152" spans="1:6" x14ac:dyDescent="0.3">
      <c r="A152" t="s">
        <v>110</v>
      </c>
      <c r="B152" t="s">
        <v>26</v>
      </c>
      <c r="C152">
        <v>2.75</v>
      </c>
      <c r="D152">
        <v>7.25</v>
      </c>
      <c r="E152" s="1">
        <f>((D152-C152)/C152)</f>
        <v>1.6363636363636365</v>
      </c>
      <c r="F152" s="1">
        <f>1-(C152/D152)</f>
        <v>0.62068965517241381</v>
      </c>
    </row>
    <row r="153" spans="1:6" x14ac:dyDescent="0.3">
      <c r="A153" t="s">
        <v>110</v>
      </c>
      <c r="B153" t="s">
        <v>27</v>
      </c>
      <c r="C153">
        <v>3.15</v>
      </c>
      <c r="D153">
        <v>7.65</v>
      </c>
      <c r="E153" s="1">
        <f>((D153-C153)/C153)</f>
        <v>1.4285714285714286</v>
      </c>
      <c r="F153" s="1">
        <f>1-(C153/D153)</f>
        <v>0.58823529411764708</v>
      </c>
    </row>
    <row r="154" spans="1:6" x14ac:dyDescent="0.3">
      <c r="A154" t="s">
        <v>111</v>
      </c>
      <c r="B154" t="s">
        <v>25</v>
      </c>
      <c r="C154">
        <v>1.26</v>
      </c>
      <c r="D154">
        <v>5.95</v>
      </c>
      <c r="E154" s="1">
        <f>((D154-C154)/C154)</f>
        <v>3.7222222222222223</v>
      </c>
      <c r="F154" s="1">
        <f>1-(C154/D154)</f>
        <v>0.78823529411764703</v>
      </c>
    </row>
    <row r="155" spans="1:6" x14ac:dyDescent="0.3">
      <c r="A155" t="s">
        <v>111</v>
      </c>
      <c r="B155" t="s">
        <v>26</v>
      </c>
      <c r="C155">
        <v>1.48</v>
      </c>
      <c r="D155">
        <v>6.95</v>
      </c>
      <c r="E155" s="1">
        <f>((D155-C155)/C155)</f>
        <v>3.6959459459459465</v>
      </c>
      <c r="F155" s="1">
        <f>1-(C155/D155)</f>
        <v>0.78705035971223025</v>
      </c>
    </row>
    <row r="156" spans="1:6" x14ac:dyDescent="0.3">
      <c r="A156" t="s">
        <v>111</v>
      </c>
      <c r="B156" t="s">
        <v>27</v>
      </c>
      <c r="C156">
        <v>1.7</v>
      </c>
      <c r="D156">
        <v>7.45</v>
      </c>
      <c r="E156" s="1">
        <f>((D156-C156)/C156)</f>
        <v>3.3823529411764706</v>
      </c>
      <c r="F156" s="1">
        <f>1-(C156/D156)</f>
        <v>0.77181208053691275</v>
      </c>
    </row>
    <row r="157" spans="1:6" x14ac:dyDescent="0.3">
      <c r="A157" t="s">
        <v>112</v>
      </c>
      <c r="B157" t="s">
        <v>25</v>
      </c>
      <c r="C157">
        <v>1.0900000000000001</v>
      </c>
      <c r="D157">
        <v>5.95</v>
      </c>
      <c r="E157" s="1">
        <f>((D157-C157)/C157)</f>
        <v>4.4587155963302756</v>
      </c>
      <c r="F157" s="1">
        <f>1-(C157/D157)</f>
        <v>0.81680672268907561</v>
      </c>
    </row>
    <row r="158" spans="1:6" x14ac:dyDescent="0.3">
      <c r="A158" t="s">
        <v>112</v>
      </c>
      <c r="B158" t="s">
        <v>26</v>
      </c>
      <c r="C158">
        <v>1.27</v>
      </c>
      <c r="D158">
        <v>6.95</v>
      </c>
      <c r="E158" s="1">
        <f>((D158-C158)/C158)</f>
        <v>4.4724409448818898</v>
      </c>
      <c r="F158" s="1">
        <f>1-(C158/D158)</f>
        <v>0.81726618705035969</v>
      </c>
    </row>
    <row r="159" spans="1:6" x14ac:dyDescent="0.3">
      <c r="A159" t="s">
        <v>112</v>
      </c>
      <c r="B159" t="s">
        <v>27</v>
      </c>
      <c r="C159">
        <v>1.44</v>
      </c>
      <c r="D159">
        <v>7.45</v>
      </c>
      <c r="E159" s="1">
        <f>((D159-C159)/C159)</f>
        <v>4.1736111111111107</v>
      </c>
      <c r="F159" s="1">
        <f>1-(C159/D159)</f>
        <v>0.80671140939597319</v>
      </c>
    </row>
    <row r="160" spans="1:6" x14ac:dyDescent="0.3">
      <c r="A160" t="s">
        <v>113</v>
      </c>
      <c r="B160" t="s">
        <v>25</v>
      </c>
      <c r="C160">
        <v>1.27</v>
      </c>
      <c r="D160">
        <v>5.95</v>
      </c>
      <c r="E160" s="1">
        <f>((D160-C160)/C160)</f>
        <v>3.6850393700787398</v>
      </c>
      <c r="F160" s="1">
        <f>1-(C160/D160)</f>
        <v>0.78655462184873948</v>
      </c>
    </row>
    <row r="161" spans="1:6" x14ac:dyDescent="0.3">
      <c r="A161" t="s">
        <v>113</v>
      </c>
      <c r="B161" t="s">
        <v>26</v>
      </c>
      <c r="C161">
        <v>1.45</v>
      </c>
      <c r="D161">
        <v>6.95</v>
      </c>
      <c r="E161" s="1">
        <f>((D161-C161)/C161)</f>
        <v>3.7931034482758621</v>
      </c>
      <c r="F161" s="1">
        <f>1-(C161/D161)</f>
        <v>0.79136690647482011</v>
      </c>
    </row>
    <row r="162" spans="1:6" x14ac:dyDescent="0.3">
      <c r="A162" t="s">
        <v>113</v>
      </c>
      <c r="B162" t="s">
        <v>27</v>
      </c>
      <c r="C162">
        <v>1.64</v>
      </c>
      <c r="D162">
        <v>7.45</v>
      </c>
      <c r="E162" s="1">
        <f>((D162-C162)/C162)</f>
        <v>3.542682926829269</v>
      </c>
      <c r="F162" s="1">
        <f>1-(C162/D162)</f>
        <v>0.7798657718120805</v>
      </c>
    </row>
    <row r="163" spans="1:6" x14ac:dyDescent="0.3">
      <c r="A163" t="s">
        <v>114</v>
      </c>
      <c r="B163" t="s">
        <v>25</v>
      </c>
      <c r="C163">
        <v>1.1200000000000001</v>
      </c>
      <c r="D163">
        <v>5.95</v>
      </c>
      <c r="E163" s="1">
        <f>((D163-C163)/C163)</f>
        <v>4.3125</v>
      </c>
      <c r="F163" s="1">
        <f>1-(C163/D163)</f>
        <v>0.81176470588235294</v>
      </c>
    </row>
    <row r="164" spans="1:6" x14ac:dyDescent="0.3">
      <c r="A164" t="s">
        <v>114</v>
      </c>
      <c r="B164" t="s">
        <v>26</v>
      </c>
      <c r="C164">
        <v>1.3</v>
      </c>
      <c r="D164">
        <v>6.95</v>
      </c>
      <c r="E164" s="1">
        <f>((D164-C164)/C164)</f>
        <v>4.3461538461538467</v>
      </c>
      <c r="F164" s="1">
        <f>1-(C164/D164)</f>
        <v>0.81294964028776984</v>
      </c>
    </row>
    <row r="165" spans="1:6" x14ac:dyDescent="0.3">
      <c r="A165" t="s">
        <v>114</v>
      </c>
      <c r="B165" t="s">
        <v>27</v>
      </c>
      <c r="C165">
        <v>1.49</v>
      </c>
      <c r="D165">
        <v>7.45</v>
      </c>
      <c r="E165" s="1">
        <f>((D165-C165)/C165)</f>
        <v>4</v>
      </c>
      <c r="F165" s="1">
        <f>1-(C165/D165)</f>
        <v>0.8</v>
      </c>
    </row>
    <row r="166" spans="1:6" x14ac:dyDescent="0.3">
      <c r="A166" t="s">
        <v>115</v>
      </c>
      <c r="B166" t="s">
        <v>7</v>
      </c>
      <c r="C166">
        <v>2.0699999999999998</v>
      </c>
      <c r="D166">
        <v>4.95</v>
      </c>
      <c r="E166" s="1">
        <f>((D166-C166)/C166)</f>
        <v>1.3913043478260871</v>
      </c>
      <c r="F166" s="1">
        <f>1-(C166/D166)</f>
        <v>0.58181818181818179</v>
      </c>
    </row>
    <row r="167" spans="1:6" x14ac:dyDescent="0.3">
      <c r="A167" t="s">
        <v>116</v>
      </c>
      <c r="B167" t="s">
        <v>7</v>
      </c>
      <c r="C167">
        <v>1.3</v>
      </c>
      <c r="D167">
        <v>4.95</v>
      </c>
      <c r="E167" s="1">
        <f>((D167-C167)/C167)</f>
        <v>2.8076923076923079</v>
      </c>
      <c r="F167" s="1">
        <f>1-(C167/D167)</f>
        <v>0.73737373737373735</v>
      </c>
    </row>
    <row r="168" spans="1:6" x14ac:dyDescent="0.3">
      <c r="A168" t="s">
        <v>117</v>
      </c>
      <c r="B168" t="s">
        <v>7</v>
      </c>
      <c r="C168">
        <v>2.67</v>
      </c>
      <c r="D168">
        <v>6.95</v>
      </c>
      <c r="E168" s="1">
        <f>((D168-C168)/C168)</f>
        <v>1.6029962546816481</v>
      </c>
      <c r="F168" s="1">
        <f>1-(C168/D168)</f>
        <v>0.61582733812949642</v>
      </c>
    </row>
    <row r="169" spans="1:6" x14ac:dyDescent="0.3">
      <c r="A169" t="s">
        <v>118</v>
      </c>
      <c r="B169" t="s">
        <v>7</v>
      </c>
      <c r="C169">
        <v>1.37</v>
      </c>
      <c r="D169">
        <v>4.95</v>
      </c>
      <c r="E169" s="1">
        <f>((D169-C169)/C169)</f>
        <v>2.6131386861313866</v>
      </c>
      <c r="F169" s="1">
        <f>1-(C169/D169)</f>
        <v>0.72323232323232323</v>
      </c>
    </row>
    <row r="170" spans="1:6" x14ac:dyDescent="0.3">
      <c r="A170" t="s">
        <v>64</v>
      </c>
      <c r="B170" t="s">
        <v>7</v>
      </c>
      <c r="C170">
        <v>3</v>
      </c>
      <c r="D170">
        <v>4.95</v>
      </c>
      <c r="E170" s="1">
        <f>((D170-C170)/C170)</f>
        <v>0.65</v>
      </c>
      <c r="F170" s="1">
        <f>1-(C170/D170)</f>
        <v>0.39393939393939392</v>
      </c>
    </row>
    <row r="171" spans="1:6" x14ac:dyDescent="0.3">
      <c r="A171" t="s">
        <v>119</v>
      </c>
      <c r="B171" t="s">
        <v>7</v>
      </c>
      <c r="C171">
        <v>3.77</v>
      </c>
      <c r="D171">
        <v>8.5500000000000007</v>
      </c>
      <c r="E171" s="1">
        <f>((D171-C171)/C171)</f>
        <v>1.2679045092838199</v>
      </c>
      <c r="F171" s="1">
        <f>1-(C171/D171)</f>
        <v>0.55906432748538015</v>
      </c>
    </row>
    <row r="172" spans="1:6" x14ac:dyDescent="0.3">
      <c r="A172" t="s">
        <v>120</v>
      </c>
      <c r="B172" t="s">
        <v>7</v>
      </c>
      <c r="C172">
        <v>2.2799999999999998</v>
      </c>
      <c r="D172">
        <v>9.9499999999999993</v>
      </c>
      <c r="E172" s="1">
        <f>((D172-C172)/C172)</f>
        <v>3.3640350877192984</v>
      </c>
      <c r="F172" s="1">
        <f>1-(C172/D172)</f>
        <v>0.77085427135678386</v>
      </c>
    </row>
    <row r="173" spans="1:6" x14ac:dyDescent="0.3">
      <c r="A173" t="s">
        <v>65</v>
      </c>
      <c r="B173" t="s">
        <v>7</v>
      </c>
      <c r="C173">
        <v>3</v>
      </c>
      <c r="D173">
        <v>4.95</v>
      </c>
      <c r="E173" s="1">
        <f>((D173-C173)/C173)</f>
        <v>0.65</v>
      </c>
      <c r="F173" s="1">
        <f>1-(C173/D173)</f>
        <v>0.39393939393939392</v>
      </c>
    </row>
    <row r="174" spans="1:6" x14ac:dyDescent="0.3">
      <c r="A174" t="s">
        <v>122</v>
      </c>
      <c r="B174" t="s">
        <v>7</v>
      </c>
      <c r="C174">
        <v>2.0699999999999998</v>
      </c>
      <c r="D174">
        <v>4.95</v>
      </c>
      <c r="E174" s="1">
        <f>((D174-C174)/C174)</f>
        <v>1.3913043478260871</v>
      </c>
      <c r="F174" s="1">
        <f>1-(C174/D174)</f>
        <v>0.58181818181818179</v>
      </c>
    </row>
    <row r="175" spans="1:6" x14ac:dyDescent="0.3">
      <c r="A175" t="s">
        <v>123</v>
      </c>
      <c r="B175" t="s">
        <v>7</v>
      </c>
      <c r="C175">
        <v>2.11</v>
      </c>
      <c r="D175">
        <v>5.45</v>
      </c>
      <c r="E175" s="1">
        <f>((D175-C175)/C175)</f>
        <v>1.5829383886255926</v>
      </c>
      <c r="F175" s="1">
        <f>1-(C175/D175)</f>
        <v>0.61284403669724774</v>
      </c>
    </row>
    <row r="176" spans="1:6" x14ac:dyDescent="0.3">
      <c r="A176" t="s">
        <v>124</v>
      </c>
      <c r="B176" t="s">
        <v>7</v>
      </c>
      <c r="C176">
        <v>2.21</v>
      </c>
      <c r="D176">
        <v>11.95</v>
      </c>
      <c r="E176" s="1">
        <f>((D176-C176)/C176)</f>
        <v>4.4072398190045243</v>
      </c>
      <c r="F176" s="1">
        <f>1-(C176/D176)</f>
        <v>0.8150627615062761</v>
      </c>
    </row>
    <row r="177" spans="1:6" x14ac:dyDescent="0.3">
      <c r="A177" t="s">
        <v>66</v>
      </c>
      <c r="B177" t="s">
        <v>7</v>
      </c>
      <c r="C177">
        <v>3</v>
      </c>
      <c r="D177">
        <v>4.95</v>
      </c>
      <c r="E177" s="1">
        <f>((D177-C177)/C177)</f>
        <v>0.65</v>
      </c>
      <c r="F177" s="1">
        <f>1-(C177/D177)</f>
        <v>0.39393939393939392</v>
      </c>
    </row>
    <row r="178" spans="1:6" x14ac:dyDescent="0.3">
      <c r="A178" t="s">
        <v>67</v>
      </c>
      <c r="B178" t="s">
        <v>7</v>
      </c>
      <c r="C178">
        <v>3</v>
      </c>
      <c r="D178">
        <v>4.95</v>
      </c>
      <c r="E178" s="1">
        <f>((D178-C178)/C178)</f>
        <v>0.65</v>
      </c>
      <c r="F178" s="1">
        <f>1-(C178/D178)</f>
        <v>0.39393939393939392</v>
      </c>
    </row>
    <row r="179" spans="1:6" x14ac:dyDescent="0.3">
      <c r="A179" t="s">
        <v>125</v>
      </c>
      <c r="B179" t="s">
        <v>7</v>
      </c>
      <c r="C179">
        <v>2.04</v>
      </c>
      <c r="D179">
        <v>4.45</v>
      </c>
      <c r="E179" s="1">
        <f>((D179-C179)/C179)</f>
        <v>1.1813725490196079</v>
      </c>
      <c r="F179" s="1">
        <f>1-(C179/D179)</f>
        <v>0.54157303370786525</v>
      </c>
    </row>
    <row r="180" spans="1:6" x14ac:dyDescent="0.3">
      <c r="A180" t="s">
        <v>126</v>
      </c>
      <c r="B180" t="s">
        <v>7</v>
      </c>
      <c r="C180">
        <v>2.63</v>
      </c>
      <c r="D180">
        <v>6.95</v>
      </c>
      <c r="E180" s="1">
        <f>((D180-C180)/C180)</f>
        <v>1.6425855513307988</v>
      </c>
      <c r="F180" s="1">
        <f>1-(C180/D180)</f>
        <v>0.62158273381294959</v>
      </c>
    </row>
    <row r="181" spans="1:6" x14ac:dyDescent="0.3">
      <c r="A181" t="s">
        <v>31</v>
      </c>
      <c r="B181" t="s">
        <v>27</v>
      </c>
      <c r="C181">
        <v>3</v>
      </c>
      <c r="D181">
        <v>5.05</v>
      </c>
      <c r="E181" s="1">
        <f>((D181-C181)/C181)</f>
        <v>0.68333333333333324</v>
      </c>
      <c r="F181" s="1">
        <f>1-(C181/D181)</f>
        <v>0.40594059405940597</v>
      </c>
    </row>
    <row r="182" spans="1:6" x14ac:dyDescent="0.3">
      <c r="A182" t="s">
        <v>127</v>
      </c>
      <c r="B182" t="s">
        <v>7</v>
      </c>
      <c r="C182">
        <v>1.2</v>
      </c>
      <c r="D182">
        <v>7.95</v>
      </c>
      <c r="E182" s="1">
        <f t="shared" ref="E171:E183" si="2">((D182-C182)/C182)</f>
        <v>5.625</v>
      </c>
      <c r="F182" s="1">
        <f t="shared" ref="F171:F183" si="3">1-(C182/D182)</f>
        <v>0.84905660377358494</v>
      </c>
    </row>
    <row r="183" spans="1:6" x14ac:dyDescent="0.3">
      <c r="A183" t="s">
        <v>128</v>
      </c>
      <c r="B183" t="s">
        <v>7</v>
      </c>
      <c r="C183">
        <v>0.95</v>
      </c>
      <c r="D183">
        <v>2.5</v>
      </c>
      <c r="E183" s="1">
        <f t="shared" si="2"/>
        <v>1.6315789473684212</v>
      </c>
      <c r="F183" s="1">
        <f t="shared" si="3"/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edinburg_pricing_no_labor_2026-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Esteban Correa</cp:lastModifiedBy>
  <dcterms:created xsi:type="dcterms:W3CDTF">2026-07-23T15:22:55Z</dcterms:created>
  <dcterms:modified xsi:type="dcterms:W3CDTF">2026-07-23T15:29:53Z</dcterms:modified>
</cp:coreProperties>
</file>